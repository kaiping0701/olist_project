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/>
  <mc:AlternateContent xmlns:mc="http://schemas.openxmlformats.org/markup-compatibility/2006">
    <mc:Choice Requires="x15">
      <x15ac:absPath xmlns:x15ac="http://schemas.microsoft.com/office/spreadsheetml/2010/11/ac" url="/Users/kaiping/Desktop/olist_project/Data_Understanding/review_analysis/"/>
    </mc:Choice>
  </mc:AlternateContent>
  <xr:revisionPtr revIDLastSave="0" documentId="13_ncr:1_{CCD6B47D-9D44-8844-921A-090850DB0653}" xr6:coauthVersionLast="47" xr6:coauthVersionMax="47" xr10:uidLastSave="{00000000-0000-0000-0000-000000000000}"/>
  <bookViews>
    <workbookView xWindow="0" yWindow="500" windowWidth="28800" windowHeight="15700" activeTab="2" xr2:uid="{00000000-000D-0000-FFFF-FFFF00000000}"/>
  </bookViews>
  <sheets>
    <sheet name="int_ai_sample_v2" sheetId="2" r:id="rId1"/>
    <sheet name="人工標注" sheetId="1" r:id="rId2"/>
    <sheet name="AI標注KPI" sheetId="3" r:id="rId3"/>
  </sheets>
  <definedNames>
    <definedName name="_xlnm._FilterDatabase" localSheetId="2" hidden="1">AI標注KPI!$A$1:$O$101</definedName>
    <definedName name="外部資料_1" localSheetId="0" hidden="1">int_ai_sample_v2!$A$1:$N$101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3" l="1"/>
  <c r="N101" i="3"/>
  <c r="M101" i="3"/>
  <c r="L101" i="3"/>
  <c r="K101" i="3"/>
  <c r="J101" i="3"/>
  <c r="I101" i="3"/>
  <c r="H101" i="3"/>
  <c r="E101" i="3"/>
  <c r="D101" i="3"/>
  <c r="F101" i="3" s="1"/>
  <c r="O100" i="3"/>
  <c r="N100" i="3"/>
  <c r="M100" i="3"/>
  <c r="L100" i="3"/>
  <c r="K100" i="3"/>
  <c r="J100" i="3"/>
  <c r="I100" i="3"/>
  <c r="H100" i="3"/>
  <c r="E100" i="3"/>
  <c r="D100" i="3"/>
  <c r="F100" i="3" s="1"/>
  <c r="O99" i="3"/>
  <c r="N99" i="3"/>
  <c r="M99" i="3"/>
  <c r="L99" i="3"/>
  <c r="K99" i="3"/>
  <c r="J99" i="3"/>
  <c r="I99" i="3"/>
  <c r="H99" i="3"/>
  <c r="E99" i="3"/>
  <c r="D99" i="3"/>
  <c r="O98" i="3"/>
  <c r="N98" i="3"/>
  <c r="M98" i="3"/>
  <c r="L98" i="3"/>
  <c r="K98" i="3"/>
  <c r="J98" i="3"/>
  <c r="I98" i="3"/>
  <c r="H98" i="3"/>
  <c r="E98" i="3"/>
  <c r="D98" i="3"/>
  <c r="F98" i="3" s="1"/>
  <c r="O97" i="3"/>
  <c r="N97" i="3"/>
  <c r="M97" i="3"/>
  <c r="L97" i="3"/>
  <c r="K97" i="3"/>
  <c r="J97" i="3"/>
  <c r="I97" i="3"/>
  <c r="H97" i="3"/>
  <c r="E97" i="3"/>
  <c r="D97" i="3"/>
  <c r="F97" i="3" s="1"/>
  <c r="O96" i="3"/>
  <c r="N96" i="3"/>
  <c r="M96" i="3"/>
  <c r="L96" i="3"/>
  <c r="K96" i="3"/>
  <c r="J96" i="3"/>
  <c r="I96" i="3"/>
  <c r="H96" i="3"/>
  <c r="E96" i="3"/>
  <c r="D96" i="3"/>
  <c r="F96" i="3" s="1"/>
  <c r="O95" i="3"/>
  <c r="N95" i="3"/>
  <c r="M95" i="3"/>
  <c r="L95" i="3"/>
  <c r="K95" i="3"/>
  <c r="J95" i="3"/>
  <c r="I95" i="3"/>
  <c r="H95" i="3"/>
  <c r="E95" i="3"/>
  <c r="D95" i="3"/>
  <c r="F95" i="3" s="1"/>
  <c r="O94" i="3"/>
  <c r="N94" i="3"/>
  <c r="M94" i="3"/>
  <c r="L94" i="3"/>
  <c r="K94" i="3"/>
  <c r="J94" i="3"/>
  <c r="I94" i="3"/>
  <c r="H94" i="3"/>
  <c r="E94" i="3"/>
  <c r="D94" i="3"/>
  <c r="F94" i="3" s="1"/>
  <c r="O93" i="3"/>
  <c r="N93" i="3"/>
  <c r="M93" i="3"/>
  <c r="L93" i="3"/>
  <c r="K93" i="3"/>
  <c r="J93" i="3"/>
  <c r="I93" i="3"/>
  <c r="H93" i="3"/>
  <c r="E93" i="3"/>
  <c r="D93" i="3"/>
  <c r="F93" i="3" s="1"/>
  <c r="O92" i="3"/>
  <c r="N92" i="3"/>
  <c r="M92" i="3"/>
  <c r="L92" i="3"/>
  <c r="K92" i="3"/>
  <c r="J92" i="3"/>
  <c r="I92" i="3"/>
  <c r="H92" i="3"/>
  <c r="E92" i="3"/>
  <c r="D92" i="3"/>
  <c r="F92" i="3" s="1"/>
  <c r="O91" i="3"/>
  <c r="N91" i="3"/>
  <c r="M91" i="3"/>
  <c r="L91" i="3"/>
  <c r="K91" i="3"/>
  <c r="J91" i="3"/>
  <c r="I91" i="3"/>
  <c r="H91" i="3"/>
  <c r="E91" i="3"/>
  <c r="D91" i="3"/>
  <c r="F91" i="3" s="1"/>
  <c r="O90" i="3"/>
  <c r="N90" i="3"/>
  <c r="M90" i="3"/>
  <c r="L90" i="3"/>
  <c r="K90" i="3"/>
  <c r="J90" i="3"/>
  <c r="I90" i="3"/>
  <c r="H90" i="3"/>
  <c r="E90" i="3"/>
  <c r="D90" i="3"/>
  <c r="O89" i="3"/>
  <c r="N89" i="3"/>
  <c r="M89" i="3"/>
  <c r="L89" i="3"/>
  <c r="K89" i="3"/>
  <c r="J89" i="3"/>
  <c r="I89" i="3"/>
  <c r="H89" i="3"/>
  <c r="E89" i="3"/>
  <c r="D89" i="3"/>
  <c r="F89" i="3" s="1"/>
  <c r="O88" i="3"/>
  <c r="N88" i="3"/>
  <c r="M88" i="3"/>
  <c r="L88" i="3"/>
  <c r="K88" i="3"/>
  <c r="J88" i="3"/>
  <c r="I88" i="3"/>
  <c r="H88" i="3"/>
  <c r="E88" i="3"/>
  <c r="D88" i="3"/>
  <c r="F88" i="3" s="1"/>
  <c r="O87" i="3"/>
  <c r="N87" i="3"/>
  <c r="M87" i="3"/>
  <c r="L87" i="3"/>
  <c r="K87" i="3"/>
  <c r="J87" i="3"/>
  <c r="I87" i="3"/>
  <c r="H87" i="3"/>
  <c r="E87" i="3"/>
  <c r="D87" i="3"/>
  <c r="F87" i="3" s="1"/>
  <c r="O86" i="3"/>
  <c r="N86" i="3"/>
  <c r="M86" i="3"/>
  <c r="L86" i="3"/>
  <c r="K86" i="3"/>
  <c r="J86" i="3"/>
  <c r="I86" i="3"/>
  <c r="H86" i="3"/>
  <c r="E86" i="3"/>
  <c r="D86" i="3"/>
  <c r="F86" i="3" s="1"/>
  <c r="O85" i="3"/>
  <c r="N85" i="3"/>
  <c r="M85" i="3"/>
  <c r="L85" i="3"/>
  <c r="K85" i="3"/>
  <c r="J85" i="3"/>
  <c r="I85" i="3"/>
  <c r="H85" i="3"/>
  <c r="E85" i="3"/>
  <c r="D85" i="3"/>
  <c r="F85" i="3" s="1"/>
  <c r="O84" i="3"/>
  <c r="N84" i="3"/>
  <c r="M84" i="3"/>
  <c r="L84" i="3"/>
  <c r="K84" i="3"/>
  <c r="J84" i="3"/>
  <c r="I84" i="3"/>
  <c r="H84" i="3"/>
  <c r="E84" i="3"/>
  <c r="D84" i="3"/>
  <c r="F84" i="3" s="1"/>
  <c r="O83" i="3"/>
  <c r="N83" i="3"/>
  <c r="M83" i="3"/>
  <c r="L83" i="3"/>
  <c r="K83" i="3"/>
  <c r="J83" i="3"/>
  <c r="I83" i="3"/>
  <c r="H83" i="3"/>
  <c r="E83" i="3"/>
  <c r="D83" i="3"/>
  <c r="F83" i="3" s="1"/>
  <c r="O82" i="3"/>
  <c r="N82" i="3"/>
  <c r="M82" i="3"/>
  <c r="L82" i="3"/>
  <c r="K82" i="3"/>
  <c r="J82" i="3"/>
  <c r="I82" i="3"/>
  <c r="H82" i="3"/>
  <c r="E82" i="3"/>
  <c r="D82" i="3"/>
  <c r="F82" i="3" s="1"/>
  <c r="O81" i="3"/>
  <c r="N81" i="3"/>
  <c r="M81" i="3"/>
  <c r="L81" i="3"/>
  <c r="K81" i="3"/>
  <c r="J81" i="3"/>
  <c r="I81" i="3"/>
  <c r="H81" i="3"/>
  <c r="E81" i="3"/>
  <c r="D81" i="3"/>
  <c r="F81" i="3" s="1"/>
  <c r="O80" i="3"/>
  <c r="N80" i="3"/>
  <c r="M80" i="3"/>
  <c r="L80" i="3"/>
  <c r="K80" i="3"/>
  <c r="J80" i="3"/>
  <c r="I80" i="3"/>
  <c r="H80" i="3"/>
  <c r="E80" i="3"/>
  <c r="D80" i="3"/>
  <c r="F80" i="3" s="1"/>
  <c r="O79" i="3"/>
  <c r="N79" i="3"/>
  <c r="M79" i="3"/>
  <c r="L79" i="3"/>
  <c r="K79" i="3"/>
  <c r="J79" i="3"/>
  <c r="I79" i="3"/>
  <c r="H79" i="3"/>
  <c r="E79" i="3"/>
  <c r="D79" i="3"/>
  <c r="F79" i="3" s="1"/>
  <c r="O78" i="3"/>
  <c r="N78" i="3"/>
  <c r="M78" i="3"/>
  <c r="L78" i="3"/>
  <c r="K78" i="3"/>
  <c r="J78" i="3"/>
  <c r="I78" i="3"/>
  <c r="H78" i="3"/>
  <c r="E78" i="3"/>
  <c r="D78" i="3"/>
  <c r="F78" i="3" s="1"/>
  <c r="O77" i="3"/>
  <c r="N77" i="3"/>
  <c r="M77" i="3"/>
  <c r="L77" i="3"/>
  <c r="K77" i="3"/>
  <c r="J77" i="3"/>
  <c r="I77" i="3"/>
  <c r="H77" i="3"/>
  <c r="E77" i="3"/>
  <c r="D77" i="3"/>
  <c r="F77" i="3" s="1"/>
  <c r="O76" i="3"/>
  <c r="N76" i="3"/>
  <c r="M76" i="3"/>
  <c r="L76" i="3"/>
  <c r="K76" i="3"/>
  <c r="J76" i="3"/>
  <c r="I76" i="3"/>
  <c r="H76" i="3"/>
  <c r="E76" i="3"/>
  <c r="D76" i="3"/>
  <c r="F76" i="3" s="1"/>
  <c r="O75" i="3"/>
  <c r="N75" i="3"/>
  <c r="M75" i="3"/>
  <c r="L75" i="3"/>
  <c r="K75" i="3"/>
  <c r="J75" i="3"/>
  <c r="I75" i="3"/>
  <c r="H75" i="3"/>
  <c r="E75" i="3"/>
  <c r="D75" i="3"/>
  <c r="F75" i="3" s="1"/>
  <c r="O74" i="3"/>
  <c r="N74" i="3"/>
  <c r="M74" i="3"/>
  <c r="L74" i="3"/>
  <c r="K74" i="3"/>
  <c r="J74" i="3"/>
  <c r="I74" i="3"/>
  <c r="H74" i="3"/>
  <c r="E74" i="3"/>
  <c r="D74" i="3"/>
  <c r="O73" i="3"/>
  <c r="N73" i="3"/>
  <c r="M73" i="3"/>
  <c r="L73" i="3"/>
  <c r="K73" i="3"/>
  <c r="J73" i="3"/>
  <c r="I73" i="3"/>
  <c r="H73" i="3"/>
  <c r="E73" i="3"/>
  <c r="D73" i="3"/>
  <c r="F73" i="3" s="1"/>
  <c r="O72" i="3"/>
  <c r="N72" i="3"/>
  <c r="M72" i="3"/>
  <c r="L72" i="3"/>
  <c r="K72" i="3"/>
  <c r="J72" i="3"/>
  <c r="I72" i="3"/>
  <c r="H72" i="3"/>
  <c r="E72" i="3"/>
  <c r="D72" i="3"/>
  <c r="F72" i="3" s="1"/>
  <c r="O71" i="3"/>
  <c r="N71" i="3"/>
  <c r="M71" i="3"/>
  <c r="L71" i="3"/>
  <c r="K71" i="3"/>
  <c r="J71" i="3"/>
  <c r="I71" i="3"/>
  <c r="H71" i="3"/>
  <c r="E71" i="3"/>
  <c r="D71" i="3"/>
  <c r="F71" i="3" s="1"/>
  <c r="O70" i="3"/>
  <c r="N70" i="3"/>
  <c r="M70" i="3"/>
  <c r="L70" i="3"/>
  <c r="K70" i="3"/>
  <c r="J70" i="3"/>
  <c r="I70" i="3"/>
  <c r="H70" i="3"/>
  <c r="E70" i="3"/>
  <c r="D70" i="3"/>
  <c r="F70" i="3" s="1"/>
  <c r="O69" i="3"/>
  <c r="N69" i="3"/>
  <c r="M69" i="3"/>
  <c r="L69" i="3"/>
  <c r="K69" i="3"/>
  <c r="J69" i="3"/>
  <c r="I69" i="3"/>
  <c r="H69" i="3"/>
  <c r="E69" i="3"/>
  <c r="D69" i="3"/>
  <c r="F69" i="3" s="1"/>
  <c r="O68" i="3"/>
  <c r="N68" i="3"/>
  <c r="M68" i="3"/>
  <c r="L68" i="3"/>
  <c r="K68" i="3"/>
  <c r="J68" i="3"/>
  <c r="I68" i="3"/>
  <c r="H68" i="3"/>
  <c r="E68" i="3"/>
  <c r="D68" i="3"/>
  <c r="F68" i="3" s="1"/>
  <c r="O67" i="3"/>
  <c r="N67" i="3"/>
  <c r="M67" i="3"/>
  <c r="L67" i="3"/>
  <c r="K67" i="3"/>
  <c r="J67" i="3"/>
  <c r="I67" i="3"/>
  <c r="H67" i="3"/>
  <c r="E67" i="3"/>
  <c r="D67" i="3"/>
  <c r="F67" i="3" s="1"/>
  <c r="O66" i="3"/>
  <c r="N66" i="3"/>
  <c r="M66" i="3"/>
  <c r="L66" i="3"/>
  <c r="K66" i="3"/>
  <c r="J66" i="3"/>
  <c r="I66" i="3"/>
  <c r="H66" i="3"/>
  <c r="E66" i="3"/>
  <c r="D66" i="3"/>
  <c r="F66" i="3" s="1"/>
  <c r="O65" i="3"/>
  <c r="N65" i="3"/>
  <c r="M65" i="3"/>
  <c r="L65" i="3"/>
  <c r="K65" i="3"/>
  <c r="J65" i="3"/>
  <c r="I65" i="3"/>
  <c r="H65" i="3"/>
  <c r="E65" i="3"/>
  <c r="D65" i="3"/>
  <c r="F65" i="3" s="1"/>
  <c r="O64" i="3"/>
  <c r="N64" i="3"/>
  <c r="M64" i="3"/>
  <c r="L64" i="3"/>
  <c r="K64" i="3"/>
  <c r="J64" i="3"/>
  <c r="I64" i="3"/>
  <c r="H64" i="3"/>
  <c r="E64" i="3"/>
  <c r="D64" i="3"/>
  <c r="F64" i="3" s="1"/>
  <c r="O63" i="3"/>
  <c r="N63" i="3"/>
  <c r="M63" i="3"/>
  <c r="L63" i="3"/>
  <c r="K63" i="3"/>
  <c r="J63" i="3"/>
  <c r="I63" i="3"/>
  <c r="H63" i="3"/>
  <c r="E63" i="3"/>
  <c r="D63" i="3"/>
  <c r="F63" i="3" s="1"/>
  <c r="O62" i="3"/>
  <c r="N62" i="3"/>
  <c r="M62" i="3"/>
  <c r="L62" i="3"/>
  <c r="K62" i="3"/>
  <c r="J62" i="3"/>
  <c r="I62" i="3"/>
  <c r="H62" i="3"/>
  <c r="E62" i="3"/>
  <c r="D62" i="3"/>
  <c r="F62" i="3" s="1"/>
  <c r="O61" i="3"/>
  <c r="N61" i="3"/>
  <c r="M61" i="3"/>
  <c r="L61" i="3"/>
  <c r="K61" i="3"/>
  <c r="J61" i="3"/>
  <c r="I61" i="3"/>
  <c r="H61" i="3"/>
  <c r="E61" i="3"/>
  <c r="D61" i="3"/>
  <c r="F61" i="3" s="1"/>
  <c r="O60" i="3"/>
  <c r="N60" i="3"/>
  <c r="M60" i="3"/>
  <c r="L60" i="3"/>
  <c r="K60" i="3"/>
  <c r="J60" i="3"/>
  <c r="I60" i="3"/>
  <c r="H60" i="3"/>
  <c r="E60" i="3"/>
  <c r="D60" i="3"/>
  <c r="F60" i="3" s="1"/>
  <c r="O59" i="3"/>
  <c r="N59" i="3"/>
  <c r="M59" i="3"/>
  <c r="L59" i="3"/>
  <c r="K59" i="3"/>
  <c r="J59" i="3"/>
  <c r="I59" i="3"/>
  <c r="H59" i="3"/>
  <c r="E59" i="3"/>
  <c r="D59" i="3"/>
  <c r="F59" i="3" s="1"/>
  <c r="O58" i="3"/>
  <c r="N58" i="3"/>
  <c r="M58" i="3"/>
  <c r="L58" i="3"/>
  <c r="K58" i="3"/>
  <c r="J58" i="3"/>
  <c r="I58" i="3"/>
  <c r="H58" i="3"/>
  <c r="E58" i="3"/>
  <c r="D58" i="3"/>
  <c r="F58" i="3" s="1"/>
  <c r="O57" i="3"/>
  <c r="N57" i="3"/>
  <c r="M57" i="3"/>
  <c r="L57" i="3"/>
  <c r="K57" i="3"/>
  <c r="J57" i="3"/>
  <c r="I57" i="3"/>
  <c r="H57" i="3"/>
  <c r="E57" i="3"/>
  <c r="D57" i="3"/>
  <c r="F57" i="3" s="1"/>
  <c r="O56" i="3"/>
  <c r="N56" i="3"/>
  <c r="M56" i="3"/>
  <c r="L56" i="3"/>
  <c r="K56" i="3"/>
  <c r="J56" i="3"/>
  <c r="I56" i="3"/>
  <c r="H56" i="3"/>
  <c r="E56" i="3"/>
  <c r="D56" i="3"/>
  <c r="F56" i="3" s="1"/>
  <c r="O55" i="3"/>
  <c r="N55" i="3"/>
  <c r="M55" i="3"/>
  <c r="L55" i="3"/>
  <c r="K55" i="3"/>
  <c r="J55" i="3"/>
  <c r="I55" i="3"/>
  <c r="H55" i="3"/>
  <c r="E55" i="3"/>
  <c r="D55" i="3"/>
  <c r="O54" i="3"/>
  <c r="N54" i="3"/>
  <c r="M54" i="3"/>
  <c r="L54" i="3"/>
  <c r="K54" i="3"/>
  <c r="J54" i="3"/>
  <c r="I54" i="3"/>
  <c r="H54" i="3"/>
  <c r="E54" i="3"/>
  <c r="D54" i="3"/>
  <c r="O53" i="3"/>
  <c r="N53" i="3"/>
  <c r="M53" i="3"/>
  <c r="L53" i="3"/>
  <c r="K53" i="3"/>
  <c r="J53" i="3"/>
  <c r="I53" i="3"/>
  <c r="H53" i="3"/>
  <c r="E53" i="3"/>
  <c r="D53" i="3"/>
  <c r="F53" i="3" s="1"/>
  <c r="O52" i="3"/>
  <c r="N52" i="3"/>
  <c r="M52" i="3"/>
  <c r="L52" i="3"/>
  <c r="K52" i="3"/>
  <c r="J52" i="3"/>
  <c r="I52" i="3"/>
  <c r="H52" i="3"/>
  <c r="E52" i="3"/>
  <c r="D52" i="3"/>
  <c r="O51" i="3"/>
  <c r="N51" i="3"/>
  <c r="M51" i="3"/>
  <c r="L51" i="3"/>
  <c r="K51" i="3"/>
  <c r="J51" i="3"/>
  <c r="I51" i="3"/>
  <c r="H51" i="3"/>
  <c r="E51" i="3"/>
  <c r="D51" i="3"/>
  <c r="O50" i="3"/>
  <c r="N50" i="3"/>
  <c r="M50" i="3"/>
  <c r="L50" i="3"/>
  <c r="K50" i="3"/>
  <c r="J50" i="3"/>
  <c r="I50" i="3"/>
  <c r="H50" i="3"/>
  <c r="E50" i="3"/>
  <c r="D50" i="3"/>
  <c r="O49" i="3"/>
  <c r="N49" i="3"/>
  <c r="M49" i="3"/>
  <c r="L49" i="3"/>
  <c r="K49" i="3"/>
  <c r="J49" i="3"/>
  <c r="I49" i="3"/>
  <c r="H49" i="3"/>
  <c r="E49" i="3"/>
  <c r="D49" i="3"/>
  <c r="O48" i="3"/>
  <c r="N48" i="3"/>
  <c r="M48" i="3"/>
  <c r="L48" i="3"/>
  <c r="K48" i="3"/>
  <c r="J48" i="3"/>
  <c r="I48" i="3"/>
  <c r="H48" i="3"/>
  <c r="E48" i="3"/>
  <c r="D48" i="3"/>
  <c r="F48" i="3" s="1"/>
  <c r="O47" i="3"/>
  <c r="N47" i="3"/>
  <c r="M47" i="3"/>
  <c r="L47" i="3"/>
  <c r="K47" i="3"/>
  <c r="J47" i="3"/>
  <c r="I47" i="3"/>
  <c r="H47" i="3"/>
  <c r="E47" i="3"/>
  <c r="D47" i="3"/>
  <c r="F47" i="3" s="1"/>
  <c r="O46" i="3"/>
  <c r="N46" i="3"/>
  <c r="M46" i="3"/>
  <c r="L46" i="3"/>
  <c r="K46" i="3"/>
  <c r="J46" i="3"/>
  <c r="I46" i="3"/>
  <c r="H46" i="3"/>
  <c r="E46" i="3"/>
  <c r="D46" i="3"/>
  <c r="F46" i="3" s="1"/>
  <c r="O45" i="3"/>
  <c r="N45" i="3"/>
  <c r="M45" i="3"/>
  <c r="L45" i="3"/>
  <c r="K45" i="3"/>
  <c r="J45" i="3"/>
  <c r="I45" i="3"/>
  <c r="H45" i="3"/>
  <c r="E45" i="3"/>
  <c r="D45" i="3"/>
  <c r="O44" i="3"/>
  <c r="N44" i="3"/>
  <c r="M44" i="3"/>
  <c r="L44" i="3"/>
  <c r="K44" i="3"/>
  <c r="J44" i="3"/>
  <c r="I44" i="3"/>
  <c r="H44" i="3"/>
  <c r="E44" i="3"/>
  <c r="D44" i="3"/>
  <c r="O43" i="3"/>
  <c r="N43" i="3"/>
  <c r="M43" i="3"/>
  <c r="L43" i="3"/>
  <c r="K43" i="3"/>
  <c r="J43" i="3"/>
  <c r="I43" i="3"/>
  <c r="H43" i="3"/>
  <c r="E43" i="3"/>
  <c r="D43" i="3"/>
  <c r="O42" i="3"/>
  <c r="N42" i="3"/>
  <c r="M42" i="3"/>
  <c r="L42" i="3"/>
  <c r="K42" i="3"/>
  <c r="J42" i="3"/>
  <c r="I42" i="3"/>
  <c r="H42" i="3"/>
  <c r="E42" i="3"/>
  <c r="D42" i="3"/>
  <c r="O41" i="3"/>
  <c r="N41" i="3"/>
  <c r="M41" i="3"/>
  <c r="L41" i="3"/>
  <c r="K41" i="3"/>
  <c r="J41" i="3"/>
  <c r="I41" i="3"/>
  <c r="H41" i="3"/>
  <c r="E41" i="3"/>
  <c r="D41" i="3"/>
  <c r="O40" i="3"/>
  <c r="N40" i="3"/>
  <c r="M40" i="3"/>
  <c r="L40" i="3"/>
  <c r="K40" i="3"/>
  <c r="J40" i="3"/>
  <c r="I40" i="3"/>
  <c r="H40" i="3"/>
  <c r="E40" i="3"/>
  <c r="D40" i="3"/>
  <c r="O39" i="3"/>
  <c r="N39" i="3"/>
  <c r="M39" i="3"/>
  <c r="L39" i="3"/>
  <c r="K39" i="3"/>
  <c r="J39" i="3"/>
  <c r="I39" i="3"/>
  <c r="H39" i="3"/>
  <c r="E39" i="3"/>
  <c r="D39" i="3"/>
  <c r="O38" i="3"/>
  <c r="N38" i="3"/>
  <c r="M38" i="3"/>
  <c r="L38" i="3"/>
  <c r="K38" i="3"/>
  <c r="J38" i="3"/>
  <c r="I38" i="3"/>
  <c r="H38" i="3"/>
  <c r="E38" i="3"/>
  <c r="D38" i="3"/>
  <c r="O37" i="3"/>
  <c r="N37" i="3"/>
  <c r="M37" i="3"/>
  <c r="L37" i="3"/>
  <c r="K37" i="3"/>
  <c r="J37" i="3"/>
  <c r="I37" i="3"/>
  <c r="H37" i="3"/>
  <c r="E37" i="3"/>
  <c r="D37" i="3"/>
  <c r="O36" i="3"/>
  <c r="N36" i="3"/>
  <c r="M36" i="3"/>
  <c r="L36" i="3"/>
  <c r="K36" i="3"/>
  <c r="J36" i="3"/>
  <c r="I36" i="3"/>
  <c r="H36" i="3"/>
  <c r="E36" i="3"/>
  <c r="D36" i="3"/>
  <c r="O35" i="3"/>
  <c r="N35" i="3"/>
  <c r="M35" i="3"/>
  <c r="L35" i="3"/>
  <c r="K35" i="3"/>
  <c r="J35" i="3"/>
  <c r="I35" i="3"/>
  <c r="H35" i="3"/>
  <c r="E35" i="3"/>
  <c r="D35" i="3"/>
  <c r="F35" i="3" s="1"/>
  <c r="O34" i="3"/>
  <c r="N34" i="3"/>
  <c r="M34" i="3"/>
  <c r="L34" i="3"/>
  <c r="K34" i="3"/>
  <c r="J34" i="3"/>
  <c r="I34" i="3"/>
  <c r="H34" i="3"/>
  <c r="E34" i="3"/>
  <c r="D34" i="3"/>
  <c r="F34" i="3" s="1"/>
  <c r="O33" i="3"/>
  <c r="N33" i="3"/>
  <c r="M33" i="3"/>
  <c r="L33" i="3"/>
  <c r="K33" i="3"/>
  <c r="J33" i="3"/>
  <c r="I33" i="3"/>
  <c r="H33" i="3"/>
  <c r="E33" i="3"/>
  <c r="D33" i="3"/>
  <c r="F33" i="3" s="1"/>
  <c r="O32" i="3"/>
  <c r="N32" i="3"/>
  <c r="M32" i="3"/>
  <c r="L32" i="3"/>
  <c r="K32" i="3"/>
  <c r="J32" i="3"/>
  <c r="I32" i="3"/>
  <c r="H32" i="3"/>
  <c r="E32" i="3"/>
  <c r="D32" i="3"/>
  <c r="F32" i="3" s="1"/>
  <c r="O31" i="3"/>
  <c r="N31" i="3"/>
  <c r="M31" i="3"/>
  <c r="L31" i="3"/>
  <c r="K31" i="3"/>
  <c r="J31" i="3"/>
  <c r="I31" i="3"/>
  <c r="H31" i="3"/>
  <c r="E31" i="3"/>
  <c r="D31" i="3"/>
  <c r="F31" i="3" s="1"/>
  <c r="O30" i="3"/>
  <c r="N30" i="3"/>
  <c r="M30" i="3"/>
  <c r="L30" i="3"/>
  <c r="K30" i="3"/>
  <c r="J30" i="3"/>
  <c r="I30" i="3"/>
  <c r="H30" i="3"/>
  <c r="E30" i="3"/>
  <c r="D30" i="3"/>
  <c r="F30" i="3" s="1"/>
  <c r="O29" i="3"/>
  <c r="N29" i="3"/>
  <c r="M29" i="3"/>
  <c r="L29" i="3"/>
  <c r="K29" i="3"/>
  <c r="J29" i="3"/>
  <c r="I29" i="3"/>
  <c r="H29" i="3"/>
  <c r="E29" i="3"/>
  <c r="D29" i="3"/>
  <c r="F29" i="3" s="1"/>
  <c r="O28" i="3"/>
  <c r="N28" i="3"/>
  <c r="M28" i="3"/>
  <c r="L28" i="3"/>
  <c r="K28" i="3"/>
  <c r="J28" i="3"/>
  <c r="I28" i="3"/>
  <c r="H28" i="3"/>
  <c r="E28" i="3"/>
  <c r="D28" i="3"/>
  <c r="F28" i="3" s="1"/>
  <c r="O27" i="3"/>
  <c r="N27" i="3"/>
  <c r="M27" i="3"/>
  <c r="L27" i="3"/>
  <c r="K27" i="3"/>
  <c r="J27" i="3"/>
  <c r="I27" i="3"/>
  <c r="H27" i="3"/>
  <c r="E27" i="3"/>
  <c r="D27" i="3"/>
  <c r="F27" i="3" s="1"/>
  <c r="O26" i="3"/>
  <c r="N26" i="3"/>
  <c r="M26" i="3"/>
  <c r="L26" i="3"/>
  <c r="K26" i="3"/>
  <c r="J26" i="3"/>
  <c r="I26" i="3"/>
  <c r="H26" i="3"/>
  <c r="E26" i="3"/>
  <c r="D26" i="3"/>
  <c r="F26" i="3" s="1"/>
  <c r="O25" i="3"/>
  <c r="N25" i="3"/>
  <c r="M25" i="3"/>
  <c r="L25" i="3"/>
  <c r="K25" i="3"/>
  <c r="J25" i="3"/>
  <c r="I25" i="3"/>
  <c r="H25" i="3"/>
  <c r="E25" i="3"/>
  <c r="D25" i="3"/>
  <c r="F25" i="3" s="1"/>
  <c r="O24" i="3"/>
  <c r="N24" i="3"/>
  <c r="M24" i="3"/>
  <c r="L24" i="3"/>
  <c r="K24" i="3"/>
  <c r="J24" i="3"/>
  <c r="I24" i="3"/>
  <c r="H24" i="3"/>
  <c r="E24" i="3"/>
  <c r="D24" i="3"/>
  <c r="F24" i="3" s="1"/>
  <c r="O23" i="3"/>
  <c r="N23" i="3"/>
  <c r="M23" i="3"/>
  <c r="L23" i="3"/>
  <c r="K23" i="3"/>
  <c r="J23" i="3"/>
  <c r="I23" i="3"/>
  <c r="H23" i="3"/>
  <c r="E23" i="3"/>
  <c r="D23" i="3"/>
  <c r="F23" i="3" s="1"/>
  <c r="O22" i="3"/>
  <c r="N22" i="3"/>
  <c r="M22" i="3"/>
  <c r="L22" i="3"/>
  <c r="K22" i="3"/>
  <c r="J22" i="3"/>
  <c r="I22" i="3"/>
  <c r="H22" i="3"/>
  <c r="E22" i="3"/>
  <c r="D22" i="3"/>
  <c r="O21" i="3"/>
  <c r="N21" i="3"/>
  <c r="M21" i="3"/>
  <c r="L21" i="3"/>
  <c r="K21" i="3"/>
  <c r="J21" i="3"/>
  <c r="I21" i="3"/>
  <c r="H21" i="3"/>
  <c r="E21" i="3"/>
  <c r="D21" i="3"/>
  <c r="F21" i="3" s="1"/>
  <c r="O20" i="3"/>
  <c r="N20" i="3"/>
  <c r="M20" i="3"/>
  <c r="L20" i="3"/>
  <c r="K20" i="3"/>
  <c r="J20" i="3"/>
  <c r="I20" i="3"/>
  <c r="H20" i="3"/>
  <c r="E20" i="3"/>
  <c r="D20" i="3"/>
  <c r="F20" i="3" s="1"/>
  <c r="O19" i="3"/>
  <c r="N19" i="3"/>
  <c r="M19" i="3"/>
  <c r="L19" i="3"/>
  <c r="K19" i="3"/>
  <c r="J19" i="3"/>
  <c r="I19" i="3"/>
  <c r="H19" i="3"/>
  <c r="E19" i="3"/>
  <c r="D19" i="3"/>
  <c r="O18" i="3"/>
  <c r="N18" i="3"/>
  <c r="M18" i="3"/>
  <c r="L18" i="3"/>
  <c r="K18" i="3"/>
  <c r="J18" i="3"/>
  <c r="I18" i="3"/>
  <c r="H18" i="3"/>
  <c r="E18" i="3"/>
  <c r="D18" i="3"/>
  <c r="F18" i="3" s="1"/>
  <c r="O17" i="3"/>
  <c r="N17" i="3"/>
  <c r="M17" i="3"/>
  <c r="L17" i="3"/>
  <c r="K17" i="3"/>
  <c r="J17" i="3"/>
  <c r="I17" i="3"/>
  <c r="H17" i="3"/>
  <c r="E17" i="3"/>
  <c r="D17" i="3"/>
  <c r="O16" i="3"/>
  <c r="N16" i="3"/>
  <c r="M16" i="3"/>
  <c r="L16" i="3"/>
  <c r="K16" i="3"/>
  <c r="J16" i="3"/>
  <c r="I16" i="3"/>
  <c r="H16" i="3"/>
  <c r="E16" i="3"/>
  <c r="D16" i="3"/>
  <c r="F16" i="3" s="1"/>
  <c r="O15" i="3"/>
  <c r="N15" i="3"/>
  <c r="M15" i="3"/>
  <c r="L15" i="3"/>
  <c r="K15" i="3"/>
  <c r="J15" i="3"/>
  <c r="I15" i="3"/>
  <c r="H15" i="3"/>
  <c r="E15" i="3"/>
  <c r="D15" i="3"/>
  <c r="O14" i="3"/>
  <c r="N14" i="3"/>
  <c r="M14" i="3"/>
  <c r="L14" i="3"/>
  <c r="K14" i="3"/>
  <c r="J14" i="3"/>
  <c r="I14" i="3"/>
  <c r="H14" i="3"/>
  <c r="E14" i="3"/>
  <c r="D14" i="3"/>
  <c r="V13" i="3"/>
  <c r="U13" i="3"/>
  <c r="T13" i="3"/>
  <c r="S13" i="3"/>
  <c r="O13" i="3"/>
  <c r="N13" i="3"/>
  <c r="M13" i="3"/>
  <c r="L13" i="3"/>
  <c r="K13" i="3"/>
  <c r="J13" i="3"/>
  <c r="I13" i="3"/>
  <c r="H13" i="3"/>
  <c r="E13" i="3"/>
  <c r="D13" i="3"/>
  <c r="V12" i="3"/>
  <c r="U12" i="3"/>
  <c r="T12" i="3"/>
  <c r="S12" i="3"/>
  <c r="O12" i="3"/>
  <c r="N12" i="3"/>
  <c r="M12" i="3"/>
  <c r="L12" i="3"/>
  <c r="K12" i="3"/>
  <c r="J12" i="3"/>
  <c r="I12" i="3"/>
  <c r="H12" i="3"/>
  <c r="E12" i="3"/>
  <c r="D12" i="3"/>
  <c r="V11" i="3"/>
  <c r="U11" i="3"/>
  <c r="T11" i="3"/>
  <c r="S11" i="3"/>
  <c r="O11" i="3"/>
  <c r="N11" i="3"/>
  <c r="M11" i="3"/>
  <c r="L11" i="3"/>
  <c r="K11" i="3"/>
  <c r="J11" i="3"/>
  <c r="I11" i="3"/>
  <c r="H11" i="3"/>
  <c r="E11" i="3"/>
  <c r="D11" i="3"/>
  <c r="V10" i="3"/>
  <c r="U10" i="3"/>
  <c r="T10" i="3"/>
  <c r="S10" i="3"/>
  <c r="O10" i="3"/>
  <c r="N10" i="3"/>
  <c r="M10" i="3"/>
  <c r="L10" i="3"/>
  <c r="K10" i="3"/>
  <c r="J10" i="3"/>
  <c r="I10" i="3"/>
  <c r="H10" i="3"/>
  <c r="E10" i="3"/>
  <c r="D10" i="3"/>
  <c r="V9" i="3"/>
  <c r="U9" i="3"/>
  <c r="T9" i="3"/>
  <c r="S9" i="3"/>
  <c r="O9" i="3"/>
  <c r="N9" i="3"/>
  <c r="M9" i="3"/>
  <c r="L9" i="3"/>
  <c r="K9" i="3"/>
  <c r="J9" i="3"/>
  <c r="I9" i="3"/>
  <c r="H9" i="3"/>
  <c r="E9" i="3"/>
  <c r="D9" i="3"/>
  <c r="V8" i="3"/>
  <c r="U8" i="3"/>
  <c r="T8" i="3"/>
  <c r="S8" i="3"/>
  <c r="O8" i="3"/>
  <c r="N8" i="3"/>
  <c r="M8" i="3"/>
  <c r="L8" i="3"/>
  <c r="K8" i="3"/>
  <c r="J8" i="3"/>
  <c r="I8" i="3"/>
  <c r="H8" i="3"/>
  <c r="E8" i="3"/>
  <c r="D8" i="3"/>
  <c r="V7" i="3"/>
  <c r="U7" i="3"/>
  <c r="T7" i="3"/>
  <c r="S7" i="3"/>
  <c r="O7" i="3"/>
  <c r="N7" i="3"/>
  <c r="M7" i="3"/>
  <c r="L7" i="3"/>
  <c r="K7" i="3"/>
  <c r="J7" i="3"/>
  <c r="I7" i="3"/>
  <c r="H7" i="3"/>
  <c r="E7" i="3"/>
  <c r="D7" i="3"/>
  <c r="V6" i="3"/>
  <c r="U6" i="3"/>
  <c r="T6" i="3"/>
  <c r="S6" i="3"/>
  <c r="O6" i="3"/>
  <c r="N6" i="3"/>
  <c r="M6" i="3"/>
  <c r="L6" i="3"/>
  <c r="K6" i="3"/>
  <c r="J6" i="3"/>
  <c r="I6" i="3"/>
  <c r="H6" i="3"/>
  <c r="E6" i="3"/>
  <c r="D6" i="3"/>
  <c r="O5" i="3"/>
  <c r="N5" i="3"/>
  <c r="M5" i="3"/>
  <c r="L5" i="3"/>
  <c r="K5" i="3"/>
  <c r="J5" i="3"/>
  <c r="I5" i="3"/>
  <c r="H5" i="3"/>
  <c r="E5" i="3"/>
  <c r="D5" i="3"/>
  <c r="O4" i="3"/>
  <c r="N4" i="3"/>
  <c r="M4" i="3"/>
  <c r="L4" i="3"/>
  <c r="K4" i="3"/>
  <c r="J4" i="3"/>
  <c r="I4" i="3"/>
  <c r="H4" i="3"/>
  <c r="E4" i="3"/>
  <c r="D4" i="3"/>
  <c r="O3" i="3"/>
  <c r="N3" i="3"/>
  <c r="M3" i="3"/>
  <c r="L3" i="3"/>
  <c r="K3" i="3"/>
  <c r="J3" i="3"/>
  <c r="I3" i="3"/>
  <c r="H3" i="3"/>
  <c r="E3" i="3"/>
  <c r="D3" i="3"/>
  <c r="S2" i="3"/>
  <c r="O2" i="3"/>
  <c r="N2" i="3"/>
  <c r="M2" i="3"/>
  <c r="L2" i="3"/>
  <c r="K2" i="3"/>
  <c r="J2" i="3"/>
  <c r="I2" i="3"/>
  <c r="H2" i="3"/>
  <c r="E2" i="3"/>
  <c r="D2" i="3"/>
  <c r="F90" i="3" l="1"/>
  <c r="F99" i="3"/>
  <c r="F19" i="3"/>
  <c r="F7" i="3"/>
  <c r="Z10" i="3"/>
  <c r="T16" i="3"/>
  <c r="V16" i="3"/>
  <c r="U16" i="3"/>
  <c r="F6" i="3"/>
  <c r="F54" i="3"/>
  <c r="F43" i="3"/>
  <c r="F41" i="3"/>
  <c r="F14" i="3"/>
  <c r="F5" i="3"/>
  <c r="F55" i="3"/>
  <c r="F51" i="3"/>
  <c r="F44" i="3"/>
  <c r="F42" i="3"/>
  <c r="F40" i="3"/>
  <c r="F38" i="3"/>
  <c r="F37" i="3"/>
  <c r="F36" i="3"/>
  <c r="F49" i="3"/>
  <c r="F4" i="3"/>
  <c r="F15" i="3"/>
  <c r="F22" i="3"/>
  <c r="F9" i="3"/>
  <c r="F10" i="3"/>
  <c r="Z7" i="3"/>
  <c r="F45" i="3"/>
  <c r="F39" i="3"/>
  <c r="Z11" i="3"/>
  <c r="F3" i="3"/>
  <c r="F74" i="3"/>
  <c r="W13" i="3"/>
  <c r="F2" i="3"/>
  <c r="F50" i="3"/>
  <c r="F13" i="3"/>
  <c r="F52" i="3"/>
  <c r="F12" i="3"/>
  <c r="X11" i="3"/>
  <c r="F11" i="3"/>
  <c r="X10" i="3"/>
  <c r="F8" i="3"/>
  <c r="X7" i="3"/>
  <c r="Z13" i="3"/>
  <c r="X13" i="3"/>
  <c r="W12" i="3"/>
  <c r="Z12" i="3"/>
  <c r="X12" i="3"/>
  <c r="X9" i="3"/>
  <c r="Z9" i="3"/>
  <c r="X8" i="3"/>
  <c r="Z8" i="3"/>
  <c r="X6" i="3"/>
  <c r="Z6" i="3"/>
  <c r="W7" i="3"/>
  <c r="W8" i="3"/>
  <c r="W9" i="3"/>
  <c r="W10" i="3"/>
  <c r="W11" i="3"/>
  <c r="S16" i="3"/>
  <c r="F17" i="3"/>
  <c r="W6" i="3"/>
  <c r="X15" i="3" l="1"/>
  <c r="Z15" i="3"/>
  <c r="Y12" i="3"/>
  <c r="Y8" i="3"/>
  <c r="Y9" i="3"/>
  <c r="Y10" i="3"/>
  <c r="Y13" i="3"/>
  <c r="G100" i="3"/>
  <c r="G97" i="3"/>
  <c r="G95" i="3"/>
  <c r="G94" i="3"/>
  <c r="G93" i="3"/>
  <c r="G90" i="3"/>
  <c r="G87" i="3"/>
  <c r="G84" i="3"/>
  <c r="G81" i="3"/>
  <c r="G78" i="3"/>
  <c r="G66" i="3"/>
  <c r="G64" i="3"/>
  <c r="G57" i="3"/>
  <c r="G48" i="3"/>
  <c r="G41" i="3"/>
  <c r="G29" i="3"/>
  <c r="G27" i="3"/>
  <c r="G25" i="3"/>
  <c r="G23" i="3"/>
  <c r="G21" i="3"/>
  <c r="G19" i="3"/>
  <c r="G11" i="3"/>
  <c r="G7" i="3"/>
  <c r="G4" i="3"/>
  <c r="G71" i="3"/>
  <c r="G69" i="3"/>
  <c r="G47" i="3"/>
  <c r="G44" i="3"/>
  <c r="G3" i="3"/>
  <c r="G92" i="3"/>
  <c r="G89" i="3"/>
  <c r="G86" i="3"/>
  <c r="G83" i="3"/>
  <c r="G80" i="3"/>
  <c r="G77" i="3"/>
  <c r="G75" i="3"/>
  <c r="G70" i="3"/>
  <c r="G67" i="3"/>
  <c r="G53" i="3"/>
  <c r="G16" i="3"/>
  <c r="G13" i="3"/>
  <c r="G99" i="3"/>
  <c r="G96" i="3"/>
  <c r="G56" i="3"/>
  <c r="G54" i="3"/>
  <c r="G51" i="3"/>
  <c r="G12" i="3"/>
  <c r="G8" i="3"/>
  <c r="G98" i="3"/>
  <c r="G61" i="3"/>
  <c r="G59" i="3"/>
  <c r="G42" i="3"/>
  <c r="G39" i="3"/>
  <c r="G37" i="3"/>
  <c r="G36" i="3"/>
  <c r="G34" i="3"/>
  <c r="G32" i="3"/>
  <c r="G17" i="3"/>
  <c r="G91" i="3"/>
  <c r="G88" i="3"/>
  <c r="G85" i="3"/>
  <c r="G82" i="3"/>
  <c r="G79" i="3"/>
  <c r="G76" i="3"/>
  <c r="G73" i="3"/>
  <c r="G68" i="3"/>
  <c r="G65" i="3"/>
  <c r="G55" i="3"/>
  <c r="G52" i="3"/>
  <c r="G50" i="3"/>
  <c r="G49" i="3"/>
  <c r="G43" i="3"/>
  <c r="G40" i="3"/>
  <c r="G38" i="3"/>
  <c r="G33" i="3"/>
  <c r="G31" i="3"/>
  <c r="G18" i="3"/>
  <c r="G62" i="3"/>
  <c r="G60" i="3"/>
  <c r="G58" i="3"/>
  <c r="G45" i="3"/>
  <c r="G15" i="3"/>
  <c r="G10" i="3"/>
  <c r="G6" i="3"/>
  <c r="G101" i="3"/>
  <c r="G74" i="3"/>
  <c r="G72" i="3"/>
  <c r="G63" i="3"/>
  <c r="G46" i="3"/>
  <c r="G35" i="3"/>
  <c r="G30" i="3"/>
  <c r="G28" i="3"/>
  <c r="G26" i="3"/>
  <c r="G24" i="3"/>
  <c r="G22" i="3"/>
  <c r="G20" i="3"/>
  <c r="G14" i="3"/>
  <c r="G9" i="3"/>
  <c r="G5" i="3"/>
  <c r="Z16" i="3"/>
  <c r="Y7" i="3"/>
  <c r="Y11" i="3"/>
  <c r="X16" i="3"/>
  <c r="W16" i="3"/>
  <c r="G2" i="3"/>
  <c r="Y6" i="3"/>
  <c r="W15" i="3"/>
  <c r="S3" i="3"/>
  <c r="Y16" i="3" l="1"/>
  <c r="Y15" i="3"/>
</calcChain>
</file>

<file path=xl/sharedStrings.xml><?xml version="1.0" encoding="utf-8"?>
<sst xmlns="http://schemas.openxmlformats.org/spreadsheetml/2006/main" count="1265" uniqueCount="452">
  <si>
    <t>review_id</t>
  </si>
  <si>
    <t>order_id</t>
  </si>
  <si>
    <t>review_score</t>
  </si>
  <si>
    <t>review_comment_title_message</t>
  </si>
  <si>
    <t>review_translation_tw</t>
  </si>
  <si>
    <t>sentiment</t>
  </si>
  <si>
    <t>t01_delivery_logistics</t>
  </si>
  <si>
    <t>t02_order_fulfillment</t>
  </si>
  <si>
    <t>t03_product_quality</t>
  </si>
  <si>
    <t>t04_product_consistency</t>
  </si>
  <si>
    <t>t05_packaging_protection</t>
  </si>
  <si>
    <t>t06_customer_service</t>
  </si>
  <si>
    <t>t07_price_transaction</t>
  </si>
  <si>
    <t>t08_platform_system</t>
  </si>
  <si>
    <t>02756b804af267483fa850049b9e27ec</t>
  </si>
  <si>
    <t>10c3c7fea20a1ed15c6e55e90b3fb084</t>
  </si>
  <si>
    <t xml:space="preserve">Não recebi o produto e nem meu dinheiro de volta </t>
  </si>
  <si>
    <t>我沒有收到商品，也沒有退回我的錢。</t>
  </si>
  <si>
    <t>negative</t>
  </si>
  <si>
    <t>037d5c42ae0be99806581248e36789b0</t>
  </si>
  <si>
    <t>b78e1e59e42553fbbc9948d04ef0539f</t>
  </si>
  <si>
    <t>Produto entregue antes do prazo limite, de fácil rastreabilidade e embalagens adequadas.</t>
  </si>
  <si>
    <t>在交期內提早送達，方便追蹤物流，而且包裝也合適。</t>
  </si>
  <si>
    <t>positive</t>
  </si>
  <si>
    <t>03e9be6f310adce47bb7b3ba836482f9</t>
  </si>
  <si>
    <t>4516c79ac42f6a567bf4d1209eba2b33</t>
  </si>
  <si>
    <t xml:space="preserve">Na imagem parece ser uma lâmpada maior e na verdade é a menor e na descrição não vem informando qual tipo de lâmpada. </t>
  </si>
  <si>
    <t>圖片看起來像更大的燈，結果其實是最小的；而且描述裡沒有說明是哪一種燈泡。</t>
  </si>
  <si>
    <t>05dad1a1157fbb3d160559720871c42b</t>
  </si>
  <si>
    <t>17f7971d77f3b781ed3a2846c5d41946</t>
  </si>
  <si>
    <t>bom produto conforme mostrado no site</t>
  </si>
  <si>
    <t>好商品，符合網站上展示的內容。</t>
  </si>
  <si>
    <t>05f095f88fbec384ffda29a9c8145ca0</t>
  </si>
  <si>
    <t>da28ac567f1bbe704eb39c1d21c53a0d</t>
  </si>
  <si>
    <t>Suporte é bem prático e resistente.</t>
  </si>
  <si>
    <t>支援/支架很好用，也很耐用。</t>
  </si>
  <si>
    <t>0eb8fd67c98a9b0e14316f4396e86b57</t>
  </si>
  <si>
    <t>528588e5accc2b1c808576e68fd1d46c</t>
  </si>
  <si>
    <t>Fiz a compra e meu pedido não chegou e dar como entregue!!!</t>
  </si>
  <si>
    <t>我下單了，但我的包裹沒有到，卻顯示已送達！</t>
  </si>
  <si>
    <t>0f34e9cbc1e263a35f942a0c92a20162</t>
  </si>
  <si>
    <t>856f18ac2d008bc9a92673a46c6057ce</t>
  </si>
  <si>
    <t>Produto entregue parcialmente, só chegou uma luminária a de cor preta, a outra luminária não foi enviada até o presente momento.</t>
  </si>
  <si>
    <t>商品是分批送達的，但只收到一盞黑色的檯燈；另一盞檯燈到現在還沒寄來。</t>
  </si>
  <si>
    <t>0f8e2790c6eb33609495046bd6b5e9f2</t>
  </si>
  <si>
    <t>7edf24d26573e36b72c670b3810ab3e0</t>
  </si>
  <si>
    <t>Comprei um relógio Oakley Minute Machine e chegou relógio falsificado da pior qualidade e com a nota fiscal em nome de outra pessoa.
Vou entrar na justiça contra vocês.</t>
  </si>
  <si>
    <t>我買的是 Oakley Minute Machine 的手錶，但收到的是假貨，品質最差，而且發票開在另一個人的名下。我會對你們提告。</t>
  </si>
  <si>
    <t>154876b5dee18a5391c7f3813cb64618</t>
  </si>
  <si>
    <t>b9112da66c99f7f73aed69802cb358f7</t>
  </si>
  <si>
    <t>Cartucho aparenta ser bom, vamos ver com o uso.</t>
  </si>
  <si>
    <t>這個墨盒看起來不錯，之後用看看。</t>
  </si>
  <si>
    <t>neutral</t>
  </si>
  <si>
    <t>170f333c55189a2433e4bd944cae3eb2</t>
  </si>
  <si>
    <t>df82ea7ca7f0f799161e0fd92c3ab96a</t>
  </si>
  <si>
    <t xml:space="preserve">A avaliação geral foi regular porque ainda não testei o produto. Avaliei a compra/entrega. </t>
  </si>
  <si>
    <t>整體評價一般，因為我還沒測試產品。我是評估購買/交付。</t>
  </si>
  <si>
    <t>190f5817bf369b18149d2fd6fea8ed5c</t>
  </si>
  <si>
    <t>d072b2eadd483cbf8b54f0ff76ef879d</t>
  </si>
  <si>
    <t>não recebi ainda!</t>
  </si>
  <si>
    <t>我還沒收到！</t>
  </si>
  <si>
    <t>1937557c43952cfaafa9474b8a0a0f2d</t>
  </si>
  <si>
    <t>20824f4d96365315a1f191746a385a0c</t>
  </si>
  <si>
    <t xml:space="preserve">super recomendo  Parabéns pela respeito ao consumidor ! </t>
  </si>
  <si>
    <t>我超級推薦！也祝賀你們對消費者的尊重！</t>
  </si>
  <si>
    <t>21791c8e73d5a4531d9b835a5ea4c1e1</t>
  </si>
  <si>
    <t>1ad9cd62e34f5b8ebdeb700282f0168c</t>
  </si>
  <si>
    <t>eu paguei o frete para me entregarem em casa mas infelismente eu tive que ir retirar no correio , me senti lesado para que cobram o frete se naõ entregam .</t>
  </si>
  <si>
    <t>我付了運費請他們送到家，但很不幸我還是得去郵局領貨。我覺得被騙了，因為他們收了運費卻沒有送到。</t>
  </si>
  <si>
    <t>27653a377d5279da3480d0b79db976e5</t>
  </si>
  <si>
    <t>b757c5b68510d1d1390243961552792d</t>
  </si>
  <si>
    <t>Recomendado Gostei da eficiência da entrega.</t>
  </si>
  <si>
    <t>推薦。我喜歡配送的效率。</t>
  </si>
  <si>
    <t>2893f7f537bc5056b7bbb42a742d56ad</t>
  </si>
  <si>
    <t>44c2b1100f7c12e1928b475164e80a7f</t>
  </si>
  <si>
    <t>NÃO ENTRA EM CONTATO PARA SOLUCIONAR O ESTORNO DA COMPRA</t>
  </si>
  <si>
    <t>沒有聯絡我來解決退回購買款的問題。</t>
  </si>
  <si>
    <t>297cb67099f7e259f215ed6a518acb76</t>
  </si>
  <si>
    <t>8e350d5e83f49b662f870b48cf3f5b29</t>
  </si>
  <si>
    <t>Recebemos somente o bebê conforto. O carrinho não veio junto.</t>
  </si>
  <si>
    <t>我們只收到了嬰兒舒適座椅（bêbe conforto）。推車沒有一起來。</t>
  </si>
  <si>
    <t>2b1548b7746b6470035ec1202aa5e914</t>
  </si>
  <si>
    <t>2a4a59ba2f6ffd2ab64d38122a957cba</t>
  </si>
  <si>
    <t>Nao recomendo produto veio quebrado e mas de uma semana estou tentando resolver e ninguem fala nada . um absurdo pois paguei por ele inteiro e nao pela metade .</t>
  </si>
  <si>
    <t>我不推薦。商品已經壞掉，而且超過一週我一直在嘗試解決，但沒有人回應，這太離譜了，因為我付的是全額，不是付一半。</t>
  </si>
  <si>
    <t>2d252afef013ea5392e79df6173acc9b</t>
  </si>
  <si>
    <t>3f752ac8c1676fac14b0fdc9dc26539a</t>
  </si>
  <si>
    <t>relógio não tem caixa ? veio muito bem embalado, mas sem caixa ?</t>
  </si>
  <si>
    <t>手錶沒有盒子嗎？雖然包裝得很好，但沒有盒子？</t>
  </si>
  <si>
    <t>3639e59f95a0241360cc0c52933c5493</t>
  </si>
  <si>
    <t>8f3a46cc0e9d362bf43dd339e4379615</t>
  </si>
  <si>
    <t>otima loja que atende as necessidades do usuario,com entrega do produto antes do praso.</t>
  </si>
  <si>
    <t>這是一家很棒的店，能滿足使用者需求，商品也在預定時間之前送達。</t>
  </si>
  <si>
    <t>37749bb373f353f47ccc414e6250249e</t>
  </si>
  <si>
    <t>2df0ce07f5323bf3fa5d7fbc0bb28ce4</t>
  </si>
  <si>
    <t xml:space="preserve">Entrega antes do previsto. </t>
  </si>
  <si>
    <t>比預定時間還早送達。</t>
  </si>
  <si>
    <t>3a51ddc1205b69754d418863af82bdfc</t>
  </si>
  <si>
    <t>4ba11c42df14ce7bc9c996b10f0a2f52</t>
  </si>
  <si>
    <t>O produto veio com defeito nos botões de ajuste.</t>
  </si>
  <si>
    <t>商品的調整按鈕有瑕疵。</t>
  </si>
  <si>
    <t>3aae92074840202a7fac32bb5b163576</t>
  </si>
  <si>
    <t>58aca7559ea981b026710fdaf075ce5a</t>
  </si>
  <si>
    <t>Recomendo!!</t>
  </si>
  <si>
    <t>我推薦！！</t>
  </si>
  <si>
    <t>3b850443ee703ff8381534dc0349847d</t>
  </si>
  <si>
    <t>ed83f6065ae47112c8cfbd22e231b6d8</t>
  </si>
  <si>
    <t>Atendimento péssimo. Vendem um produto que não possuem. Jamais voltarei a comprar nesse site. Nenhuma estrela. Só foi uma porque fui obrigado a marcar para enviar a resposta. Zero p stark.</t>
  </si>
  <si>
    <t>客服很糟。你們賣的是你們沒有的商品。我再也不會在這個網站買了。沒有任何星星。只有一顆是因為我被迫要勾選送出回覆。0分。</t>
  </si>
  <si>
    <t>4056b7f9e9c1a158d122a0460f59fedb</t>
  </si>
  <si>
    <t>95d8c6b4c0b7c33f86f75fa4e0a74594</t>
  </si>
  <si>
    <t>O que pecou que não foi culpa da stark é que os correios alegou que não havia ninguém em casa em 3 tentativas ao qual minha mãe e outros sempre em casa acompanhávamos pelo app dos correios online</t>
  </si>
  <si>
    <t>做錯的地方不是 stark 的問題：郵局說三次嘗試都沒人，雖然我媽媽和其他人一直都在家，還有用郵局線上 app 一直看。</t>
  </si>
  <si>
    <t>45d042517e196746c0cb856f48414154</t>
  </si>
  <si>
    <t>620a716a1e6b0f533e5ffeee43cc55e9</t>
  </si>
  <si>
    <t xml:space="preserve">*** Bom atendimento e previsão de entrega cumprido. </t>
  </si>
  <si>
    <t>服務很好，且預定的送達時間也有準時達成。</t>
  </si>
  <si>
    <t>463a721864bf46834a9a31c8cd8180d8</t>
  </si>
  <si>
    <t>f8654b57d28e6089ebf05d171c1997e3</t>
  </si>
  <si>
    <t>detesto receber mercadorias pelo correio, pois acabo perdendo tempo em ter que ir ate a agencia retirar, porque o correio não tem logística de entrega domiciliar, e todo lugar e área de risco</t>
  </si>
  <si>
    <t>我很討厭用郵局寄送，因為最後我得去郵局領貨，會浪費時間；而且郵局沒有送到家裡的物流，附近還都是風險地區。</t>
  </si>
  <si>
    <t>4a746391af112fb32935992ad3d0e913</t>
  </si>
  <si>
    <t>19530a2973e25dffb52a39210f27ebb0</t>
  </si>
  <si>
    <t>Qanto a maquina de tosa recebi super rapido,porem fiz junto na mesma data o pedido do cortador de unha.O qual foi cobrado na mesma fatura com o mesmo cartão de crédito,porem até a presente data não.</t>
  </si>
  <si>
    <t>關於修剪機（修毛機）我收到很快，但同一天我也下了修指甲刀的訂單。這兩樣在同一張帳單、用同一張信用卡都有被扣款；但截至目前還沒收到。</t>
  </si>
  <si>
    <t>4acf8f889619e683c767c2c5568e246c</t>
  </si>
  <si>
    <t>ae917963181c56c14f8d0e873b1588ac</t>
  </si>
  <si>
    <t>Antes da data prevista</t>
  </si>
  <si>
    <t>比預定日期更早到</t>
  </si>
  <si>
    <t>4bb1ef78562973e974acec99a3272289</t>
  </si>
  <si>
    <t>460eec79907c666bcac2d1a397907b2b</t>
  </si>
  <si>
    <t xml:space="preserve">O produto veio com várias partes quebradas dentro da caixa. </t>
  </si>
  <si>
    <t>商品在箱子裡的多個部位都已經破損。</t>
  </si>
  <si>
    <t>4bbd26c22370d9ceeb45fc685ee15d63</t>
  </si>
  <si>
    <t>f373335aac9a659de916f7170b8bc07a</t>
  </si>
  <si>
    <t>não recebi o produto consta que o mesmo voltou para o remetente. como faço para que possa reviar-lo?</t>
  </si>
  <si>
    <t>我沒有收到商品，顯示商品已退回給寄件者。我要怎麼做才能把它重新收到（寄回來）？</t>
  </si>
  <si>
    <t>4daff2938890f696ad8fac4dff640240</t>
  </si>
  <si>
    <t>b5729b91377f445769c8fc2d063e6235</t>
  </si>
  <si>
    <t xml:space="preserve">produto de otima qualidade </t>
  </si>
  <si>
    <t>產品品質很好</t>
  </si>
  <si>
    <t>4ef59f6c9b99e98d366046bec3b5184f</t>
  </si>
  <si>
    <t>7a541b113a2aad3f0854eed998dc7ee8</t>
  </si>
  <si>
    <t>Muito bom</t>
  </si>
  <si>
    <t>非常好</t>
  </si>
  <si>
    <t>515f9b87972d61cb787cc44fa41eeddb</t>
  </si>
  <si>
    <t>2e1b58feba35b519cd774e6016c56e19</t>
  </si>
  <si>
    <t>Não recebi</t>
  </si>
  <si>
    <t>我沒有收到。</t>
  </si>
  <si>
    <t>534df27d68638b26443bd8c6df32e981</t>
  </si>
  <si>
    <t>1046a71a57b33b4a92f9f932237f1ab0</t>
  </si>
  <si>
    <t xml:space="preserve">Recomendo  Adorei 
Chegou em 2 dias </t>
  </si>
  <si>
    <t>我推薦！我很喜歡。兩天就到了。</t>
  </si>
  <si>
    <t>551376f257afeb42e6a08ff0becfd3e8</t>
  </si>
  <si>
    <t>6917e117776da5f60f8403c2120ecb68</t>
  </si>
  <si>
    <t>Otimo Amei tudo certinho</t>
  </si>
  <si>
    <t>很好，所有事情都很到位</t>
  </si>
  <si>
    <t>55f41ba4152a7c52150cba690851d06d</t>
  </si>
  <si>
    <t>62f3b85438e9485d84c4940776f9ed67</t>
  </si>
  <si>
    <t xml:space="preserve">Pode confia
</t>
  </si>
  <si>
    <t>可以相信。</t>
  </si>
  <si>
    <t>5a59e822e6b6dad710a7594df63871dd</t>
  </si>
  <si>
    <t>caad52d4e709edbd81fa417ccc0179c0</t>
  </si>
  <si>
    <t>Nao veio a luva mandaram um relogio feio no lugar sem me consultar antes</t>
  </si>
  <si>
    <t>沒收到手套，對方在沒有先跟我確認的情況下，寄了手錶給我，而且長得很醜。</t>
  </si>
  <si>
    <t>67999d12cf1859947fbe08e57715c080</t>
  </si>
  <si>
    <t>bb3b9252816ff94fc9f21944cfa0b6d1</t>
  </si>
  <si>
    <t>Ótimo Gostei. Acho apenas que o prazo poderia ser menor!</t>
  </si>
  <si>
    <t>很棒，我喜歡！我覺得交期可以再更短一點。</t>
  </si>
  <si>
    <t>mixed</t>
  </si>
  <si>
    <t>67a82fab284b84ea0b756091fb0f9cca</t>
  </si>
  <si>
    <t>3c9165fe4078dc576322edf3612985b7</t>
  </si>
  <si>
    <t xml:space="preserve">Muito bom Chegou certinho, antes do prazo. </t>
  </si>
  <si>
    <t>非常好，送達狀況很好，還比預定時間更早到。</t>
  </si>
  <si>
    <t>6e650a852e77d9f5c79392e4853745fe</t>
  </si>
  <si>
    <t>17e20d649f47e02e332aed60d2937038</t>
  </si>
  <si>
    <t xml:space="preserve">Gostei do atendimento, chegou no prazo certo, recomendo! </t>
  </si>
  <si>
    <t>我喜歡客服/服務，準時送達，我推薦！</t>
  </si>
  <si>
    <t>700d5d0b433653540b499f02c834c026</t>
  </si>
  <si>
    <t>766556fe96de427faf3964fadfb68458</t>
  </si>
  <si>
    <t>10</t>
  </si>
  <si>
    <t>703e20dd08aa3c1fb583e9213dcc75e6</t>
  </si>
  <si>
    <t>50a6272e4de975f1b97fca4f68157f84</t>
  </si>
  <si>
    <t>Embora o produto tenha sido entregue no prazo, mais demorou quase 1 mês para chegar!!
O prazo foi muito alto!!</t>
  </si>
  <si>
    <t>雖然商品在期限內送達，但卻花了幾乎 1 個月才到。期限真的太久了。</t>
  </si>
  <si>
    <t>710c9991607bd6f85365c1ada5515705</t>
  </si>
  <si>
    <t>88cd8bb48fb54b0e7a42902d1383f847</t>
  </si>
  <si>
    <t>gosto muito de comprar pela praticidade e fidelidade do cartão com desconto</t>
  </si>
  <si>
    <t>我很喜歡用這個方式買，因為方便，也因為信用卡有折扣很值得。</t>
  </si>
  <si>
    <t>746c65dc4f84691b8bf47cb233f2c4be</t>
  </si>
  <si>
    <t>06be8b2c2a6e818814aa5416c3512ca3</t>
  </si>
  <si>
    <t>Satisfeita</t>
  </si>
  <si>
    <t>很滿意。</t>
  </si>
  <si>
    <t>772d1fdeb559346a53435efac02ef805</t>
  </si>
  <si>
    <t>a77696c7b42da1121205a92ddae7b5c7</t>
  </si>
  <si>
    <t>produto não atende a sua finalidade, pois não tem o conversor de hdmi para chá.</t>
  </si>
  <si>
    <t>產品不符合它應有的用途，因為沒有 HDMI 轉接器/轉換器。</t>
  </si>
  <si>
    <t>79994c714ee5cf43b7a0e2fe45ba45bf</t>
  </si>
  <si>
    <t>78a024dc0bcb7155089055e2d2facae9</t>
  </si>
  <si>
    <t>Greves Ainda nas mãos do correio</t>
  </si>
  <si>
    <t>罷工仍在影響郵局運作。</t>
  </si>
  <si>
    <t>7cc3c8b6f41c79e2b400ffc39243ed42</t>
  </si>
  <si>
    <t>6045e16eec7cff271b49029f6a84fb62</t>
  </si>
  <si>
    <t>Excelente Ainda não testei, mas parace ser um Excelente produto e foi entregue antes do prazo.</t>
  </si>
  <si>
    <t>非常好！我還沒測試，但看起來是很棒的產品，而且比預定時間更早送達。</t>
  </si>
  <si>
    <t>7eeaa7983456c7132e5b505caf253f41</t>
  </si>
  <si>
    <t>a7c2931e0d164883a0792bdbb8240381</t>
  </si>
  <si>
    <t xml:space="preserve">Não recebi o produto  Paguei o produto é não recebi. </t>
  </si>
  <si>
    <t>我沒有收到商品。我有付錢，但沒有收到。</t>
  </si>
  <si>
    <t>889bd6683d2db12bda0a7ede0d0bd32b</t>
  </si>
  <si>
    <t>38ec15a8c5ee8b06e98a7db4f56f066a</t>
  </si>
  <si>
    <t xml:space="preserve">Excelente vendedor, ótimo produto </t>
  </si>
  <si>
    <t>賣家很棒，產品也很好</t>
  </si>
  <si>
    <t>8951e441128d4fe769c173e0c35c7efb</t>
  </si>
  <si>
    <t>1e89e2312f1a1fd948c615602f200480</t>
  </si>
  <si>
    <t>O meu pedido foi para o correio e fui retirar e ja foi devolvido ...Por favor verificam pra mim</t>
  </si>
  <si>
    <t>我的訂單是寄到郵局，然後我去領了，結果又被退回了。請你們幫我查一下好嗎？</t>
  </si>
  <si>
    <t>8de59983eadc752efaf5e7c5b4b46787</t>
  </si>
  <si>
    <t>c021ea4a80ce0d1bce358a2f831c34db</t>
  </si>
  <si>
    <t xml:space="preserve">Produto veio diferente O produto que pedi veio numa numeração diferente da que havia pedido </t>
  </si>
  <si>
    <t>商品寄來不一樣。我訂的是不同的型號/尺寸，但收到的編號不同。</t>
  </si>
  <si>
    <t>8f451e1cf55dd3f4a5c6e9607a07c561</t>
  </si>
  <si>
    <t>47c29eebd9fb0e4d67c674f78e396be4</t>
  </si>
  <si>
    <t>Bom vendedor , porém foi entregue um produto diferente da compra efetuada.</t>
  </si>
  <si>
    <t>賣家不錯，但寄來的商品跟實際下單買到的不同。</t>
  </si>
  <si>
    <t>9239ca99d60d7788629c817fde1f0514</t>
  </si>
  <si>
    <t>7199dc9a44c0b42b4341b93f376623e5</t>
  </si>
  <si>
    <t>Recebi o produto no prazo,gostei muito.</t>
  </si>
  <si>
    <t>我在期限內收到了商品，很喜歡。</t>
  </si>
  <si>
    <t>96a20cec700f8a78916f337c0dc591a6</t>
  </si>
  <si>
    <t>5f071a8534fb6805fa6ec902f04219e4</t>
  </si>
  <si>
    <t>Nao era o que eu esperava Comprei o relógio todo preto, com fecho preto, porém veio com fecho prata, e comprei com nome MVTM escrito dentro do relógio, veio sem o nome, na foto fecho preto, e com nome MVTM, não veio assim</t>
  </si>
  <si>
    <t>不是我期待的內容。我買的是全黑的手錶，黑色扣環，但收到時扣環是銀色的；另外我購買時要在錶內寫入 MVTM，卻沒收到該名字。照片上是黑色扣環、以及有 MVTM 的名字，但實際寄來不是這樣。</t>
  </si>
  <si>
    <t>97e128c1f6c5237e418f577aea822340</t>
  </si>
  <si>
    <t>dcb4a1d21593a108db61f12a4b3d61db</t>
  </si>
  <si>
    <t>PRODUTO COM MEDIDA INCORR Produto chegou no prazo,porem, nao veio na medida correta.
Tentei entrar em contato para troca ou devolucao e nao obtive nenhuma resposta.</t>
  </si>
  <si>
    <t>商品尺寸不正確。商品準時到達，但沒有寄到正確尺寸。我嘗試聯絡客服想要換貨或退貨，卻沒有收到任何回覆。</t>
  </si>
  <si>
    <t>9903b283fa9b9dabf414100ad10f1a66</t>
  </si>
  <si>
    <t>b4319389e5cab88511c93e1f16e66c69</t>
  </si>
  <si>
    <t xml:space="preserve">Não recebi o celular ainda mas a capinha é o que imaginei
</t>
  </si>
  <si>
    <t>我還沒收到手機，不過手機殼的部分是我想像的那樣。</t>
  </si>
  <si>
    <t>9a00e9def910da499d6593d3ebf92f16</t>
  </si>
  <si>
    <t>d9f8dfc775170aba5d24809cc2c04058</t>
  </si>
  <si>
    <t>nota 10</t>
  </si>
  <si>
    <t>太棒了！ / 10分！</t>
  </si>
  <si>
    <t>9ca7a6782e054c92e56da06bb84d9a52</t>
  </si>
  <si>
    <t>404e2c2a9c8b32e2c57597440e356f2f</t>
  </si>
  <si>
    <t>ainda nao recebi e a ultima informacao sobre p produto e do dia 08/12/2017.</t>
  </si>
  <si>
    <t>我還沒收到；而且關於這個商品的最後更新資訊是 08/12/2017 當天。</t>
  </si>
  <si>
    <t>9f8d896eb64cbb6d2c298d5b70465ca9</t>
  </si>
  <si>
    <t>b9c0b1f4d54b647c2de2b065bf82adaa</t>
  </si>
  <si>
    <t xml:space="preserve">Colocando a capa contra a luz, vejo que ela tem uma parte sem a tinta, não sei se eh apenas estético ou se isso irá deixar passar água </t>
  </si>
  <si>
    <t>把外套拿到燈光下看，發現有一部分沒有上漆，不知道只是外觀而已，還是會讓水滲進去。</t>
  </si>
  <si>
    <t>a2a18611bd6fcec7b333bba9bbe7c7fa</t>
  </si>
  <si>
    <t>7acbd2fcb6adc4f13a4e2d01209a956b</t>
  </si>
  <si>
    <t>É uma ótima capa e vem com a pelicula</t>
  </si>
  <si>
    <t>這個保護殼很棒，而且還附了保護貼</t>
  </si>
  <si>
    <t>a2ef48570dfb1245b86f7900b46b06cd</t>
  </si>
  <si>
    <t>796843d5e414b6e4272228bae15d828b</t>
  </si>
  <si>
    <t>Chegou antes do prazo e em bom estado!!!</t>
  </si>
  <si>
    <t>比預計時間更早到，而且狀態良好！！！</t>
  </si>
  <si>
    <t>a324e2993e5b0066052397a2acd046b5</t>
  </si>
  <si>
    <t>0f17366db3415102c789999a513bbd35</t>
  </si>
  <si>
    <t>Tem mais de mês que realizei a compra e até hj nem a nota fiscal foi emitida, e não consigo entrar em contato, e tão pouco me deram satisfação.
Parceiro irresponsável da stark, Não recomendo.</t>
  </si>
  <si>
    <t>我買了超過一個月了，直到今天都還沒開立發票，而且我也聯絡不到客服/店家，對方也沒有給我任何交代。你們的合作夥伴很不負責任。我不推薦。</t>
  </si>
  <si>
    <t>a46fe3b88c1ecfc85f890c924ca1c516</t>
  </si>
  <si>
    <t>2e528182789cc4e5d2971e5ebeb42b88</t>
  </si>
  <si>
    <t>O prazo de entrega podia ser menor!</t>
  </si>
  <si>
    <t>交期可以再短一點！</t>
  </si>
  <si>
    <t>a935b3d67f406bac4853776d80a05220</t>
  </si>
  <si>
    <t>4a62fb19d5fa08fb514619dfcc617b3d</t>
  </si>
  <si>
    <t xml:space="preserve">Acabamento Estou tentando entrar em contato com a stark para verificar a troca do mesmo, pois veio com defeito de acabamento, mas não obtive exito em falar com algum atendente representante do e-commerce </t>
  </si>
  <si>
    <t>做工方面：我正在嘗試聯絡 stark 想確認商品的換貨，因為它的做工有瑕疵/瑕疵損傷，但我沒能成功聯絡到任何電商的客服人員。</t>
  </si>
  <si>
    <t>abc1ddbb7f5801004ec22b1009266207</t>
  </si>
  <si>
    <t>9a10d7c2100d6cd74a5e9074cc23518f</t>
  </si>
  <si>
    <t xml:space="preserve">sempre comprei na lannister , mas desta vez o perceiro deles nao entregou o produto, falou que era area de risco , deixou no correio quando chegou o aviso na sexta a tarde nao dava tempo de pegar </t>
  </si>
  <si>
    <t>我以前一直在 Lannister 買，但這次你們的物流夥伴沒有送到商品，說是風險地區，週五下午通知到了，但已經來不及去取件。</t>
  </si>
  <si>
    <t>ac38fd649a97fc21dca05c96aca79bae</t>
  </si>
  <si>
    <t>0d3e9a1db3f3e32d92a74cf84605172d</t>
  </si>
  <si>
    <t>Não gostei por q o produto veio sem o veu da frente</t>
  </si>
  <si>
    <t>我不喜歡，因為商品的正面罩/面罩沒有。</t>
  </si>
  <si>
    <t>aca2e1fcabddf4cdbfffc3e5c23abd2c</t>
  </si>
  <si>
    <t>fc8a4fcbc1b484046b9ff15de7c73577</t>
  </si>
  <si>
    <t>Faz mas de 25 dias uteis que fiz a compra.</t>
  </si>
  <si>
    <t>我已經下單超過25個工作天了。</t>
  </si>
  <si>
    <t>b01ab0ba0ad74ab16c994956e5cf20e6</t>
  </si>
  <si>
    <t>f1bc2e9a22c1bd86a33e5f04595f1bdd</t>
  </si>
  <si>
    <t>super recomendo otimo</t>
  </si>
  <si>
    <t>超推薦，很棒。</t>
  </si>
  <si>
    <t>b155282fc702fc2133c97001599f2d2e</t>
  </si>
  <si>
    <t>a4de5e12d0e969340cb9f32237c16772</t>
  </si>
  <si>
    <t xml:space="preserve">Bom </t>
  </si>
  <si>
    <t>好。</t>
  </si>
  <si>
    <t>b27a52d8b58e5dee612ca49ee50cdd4e</t>
  </si>
  <si>
    <t>d4c6aa2277352d92106b387b2ee13839</t>
  </si>
  <si>
    <t>preciso trocar pois pedi Benjamin e veio Valentina</t>
  </si>
  <si>
    <t>我需要進行交換，因為我訂的是 Benjamin，但寄來的是 Valentina。</t>
  </si>
  <si>
    <t>b3990df973d58fe088fd3c24923263d8</t>
  </si>
  <si>
    <t>b886293e979c828299f8fbae51cd8a51</t>
  </si>
  <si>
    <t>o trocador veio mas ficou faltando os dois mosquiteiros que era pra vir junto</t>
  </si>
  <si>
    <t>雖然換貨（或更換的）商品有寄來，但少了兩個蚊帳，原本應該要一起附上。</t>
  </si>
  <si>
    <t>b4428633e40efabf6d7406611c4e3664</t>
  </si>
  <si>
    <t>ffc5d47e40567b5f153d5cd17138eb89</t>
  </si>
  <si>
    <t xml:space="preserve">Demora entrega Nunca fiz uma compra pela lannister que demorasse tanto a receber. Gostaria de saber o motivo! </t>
  </si>
  <si>
    <t>配送很慢。我從來沒有在 Lannister 買過這麼久才收到。想知道原因！</t>
  </si>
  <si>
    <t>b576fce5b0c82795e81518cd419f259e</t>
  </si>
  <si>
    <t>d8c67af252d6fb9d0627101531bd3833</t>
  </si>
  <si>
    <t>excelente opção de compra.</t>
  </si>
  <si>
    <t>很棒的購買選擇</t>
  </si>
  <si>
    <t>b600bc981dd7a426497c5c625badbb47</t>
  </si>
  <si>
    <t>29c5a7f7a7e0947fa6d28f355cd28c5f</t>
  </si>
  <si>
    <t>Recomendaria O site é de confiança, por isso a compra. Mas imaginei pela imagem no site que o produto que comprei era maior, o que não é. Por isso solicitei a troca/vale. A entrega não foi no prazo devido a greve.</t>
  </si>
  <si>
    <t>我會推薦這個網站，因為我信任，所以才買。但我以為依照網站圖片，商品會比較大，結果不是。所以我申請了換貨/折抵券。配送因為罷工沒在期限內。</t>
  </si>
  <si>
    <t>b8ee78b3ced2f119b89b611a0efdba7b</t>
  </si>
  <si>
    <t>f688669f48063536e082bb32d634cd46</t>
  </si>
  <si>
    <t>Meu pedido consta como entregue, mas na verdade não foi. E a loja não respondeu meu questionamento sobre a não entrega.</t>
  </si>
  <si>
    <t>我的訂單顯示已送達，但其實沒有。而且店家沒有回覆我關於未收到的提問。</t>
  </si>
  <si>
    <t>b921902036a309589df1170f8d698180</t>
  </si>
  <si>
    <t>03a0b96d81d76a3214b7b49ec31e6eb7</t>
  </si>
  <si>
    <t>excelente!!! Muito bom... vamos ver o finalmente deste produto.</t>
  </si>
  <si>
    <t>很棒！！！非常好……就等最後使用結果了。</t>
  </si>
  <si>
    <t>bd115a19bc7fc0efe1c8a597826edf84</t>
  </si>
  <si>
    <t>bc491210c65d22f6572a4370f8e60248</t>
  </si>
  <si>
    <t>Produto veio com defeito, não abre e fecha, esta travado.</t>
  </si>
  <si>
    <t>商品有瑕疵，打不開也合不上，被卡住了。</t>
  </si>
  <si>
    <t>be35f2d510f93afe0f9c59353be9c66f</t>
  </si>
  <si>
    <t>81475b047da69f6518ba1e586ef0f92b</t>
  </si>
  <si>
    <t>Meu produto ainda não chegou e como era presente pra natal, tem até sábado dia 23/12 ou vou querer meu dinheiro de volta.</t>
  </si>
  <si>
    <t>我的商品還沒到貨，而且因為是要當聖誕節禮物，所以最晚到 12/23（星期六）。不然我就要退款。</t>
  </si>
  <si>
    <t>c0e1bbeec590fe39a9e7e18e539f3266</t>
  </si>
  <si>
    <t>67884ec2877808808c25211dce58689b</t>
  </si>
  <si>
    <t>Fora dos padroes nacionais, não cabe nenhum documento e poucos cartões.</t>
  </si>
  <si>
    <t>不符合國內規格，沒有辦法提供任何文件，而且可用的卡片也很少。</t>
  </si>
  <si>
    <t>c5735d325536a48fb73da5c0e2b8cca8</t>
  </si>
  <si>
    <t>ed0b1b983f9bd6988b9865f7e774b885</t>
  </si>
  <si>
    <t>Me mandaram 2 produtos em embalagens separadas s/ papel bolha, acarretando na quebra de um. Como o transtorno p/ reclamar é grande e o valor do termômetro é pequeno, preferi não passar pelo transtorno</t>
  </si>
  <si>
    <t>他們寄了2個商品，但用不同包裝、也沒有氣泡紙，導致其中一個被弄壞。因為要處理申訴很麻煩、但溫度計的價值又不高，我就選擇不再折騰。</t>
  </si>
  <si>
    <t>c5efc0219f2949a8f81d5e8b39b9ca0c</t>
  </si>
  <si>
    <t>1cbcc355e275e5143ab1dbf260ca14f1</t>
  </si>
  <si>
    <t>Recebi corretamente o produto</t>
  </si>
  <si>
    <t>我正確收到商品。</t>
  </si>
  <si>
    <t>c94f8099a5de6a1ca668b115a0ca5aa8</t>
  </si>
  <si>
    <t>71006ec1c5629f33a617d524fac26c9a</t>
  </si>
  <si>
    <t>Caros,
Meu produto veio errado ( medicamento) e com o agravante de já estar vencido.
Gostaria da reparação com a máxima urgência .</t>
  </si>
  <si>
    <t>親愛的：我的商品寄錯了（藥品），而且更糟的是已經過期了。我希望能盡快處理（修正/補償）</t>
  </si>
  <si>
    <t>cc38b8d1aa4d03b10015ad5a82f41422</t>
  </si>
  <si>
    <t>1d2985e523eaab9f73fa2a2e820a6b12</t>
  </si>
  <si>
    <t xml:space="preserve">Não recebi... gostaria de saber o ocorrido. </t>
  </si>
  <si>
    <t>我沒有收到……我想知道發生了什麼事。</t>
  </si>
  <si>
    <t>cf3a31fb8b41b00bb9373f4fbfc85560</t>
  </si>
  <si>
    <t>688caf637d0fff2abbdcc0303cd47b1e</t>
  </si>
  <si>
    <t>PRODUTO DE BOA QUALIDADE ENTREGUE ANTES DO PREVISTO, TUDO CORRETO.</t>
  </si>
  <si>
    <t>產品品質好，且比預定時間更早送達，一切都正確無誤。</t>
  </si>
  <si>
    <t>d0426ebd83e70c1222b50b18d4aed651</t>
  </si>
  <si>
    <t>5965b589a33443dd1f820eb7df39762a</t>
  </si>
  <si>
    <t>Chegou antes do esperado, produto é lindo e perfeito.</t>
  </si>
  <si>
    <t>比預期更快到貨，產品很漂亮、很完美。</t>
  </si>
  <si>
    <t>d4500b127e6869e66723c26757812409</t>
  </si>
  <si>
    <t>82e9cdd567caae62a6d0e4e9bbf28901</t>
  </si>
  <si>
    <t>VEIO TUDO OK, E DENTRO DE MINHA ESPECTATIVA.</t>
  </si>
  <si>
    <t>全部都到了，沒問題，而且在我的預期之內。</t>
  </si>
  <si>
    <t>d458ea62d7d39dc3dbe056be40f5f9a1</t>
  </si>
  <si>
    <t>81cedc4d2132eb6f512354166e51b187</t>
  </si>
  <si>
    <t xml:space="preserve">O meu produto veio erradi, não foi o que eu pedi, e não estou conseguindo solicitar a troca </t>
  </si>
  <si>
    <t>我的商品送錯了，並不是我點的那個，而且我無法申請換貨。</t>
  </si>
  <si>
    <t>d8416137c8bdc45b7b96b436a213c5f8</t>
  </si>
  <si>
    <t>2b24fab07cfb3ca5b34f71a8b9934fde</t>
  </si>
  <si>
    <t xml:space="preserve">Olha pelo que eu vi e uma ótima empresa porém só não me agradou o fato da entrega que se prorrogou mais do que eu esperava </t>
  </si>
  <si>
    <t>就我看到的來說，是家很棒的公司，但只有一點不太滿意：配送比我預期的還拖延更久。</t>
  </si>
  <si>
    <t>dce79f00fe68b6878ea75ab712bcc327</t>
  </si>
  <si>
    <t>33cf8e9da9865079f64965b83061baae</t>
  </si>
  <si>
    <t>tudo certo....</t>
  </si>
  <si>
    <t>一切都沒問題……</t>
  </si>
  <si>
    <t>de6f538b2f1a199da6b12d7865a05f00</t>
  </si>
  <si>
    <t>295d49e8efc4fcc47de84a52d74d37a3</t>
  </si>
  <si>
    <t>produto devolvido no ato da entrega ,nao correspondia para ninha necessidade</t>
  </si>
  <si>
    <t>交付當天就退回了，因為它不符合我的需求。</t>
  </si>
  <si>
    <t>e34ab45b78e9bb02caeedbc409b44ded</t>
  </si>
  <si>
    <t>06f539e73d3a46feae1fa4667cc82f98</t>
  </si>
  <si>
    <t>Dos 2 produtos adquiridos só um foi entregue já que um veio errado, falta mais atenção na hora de empacotamento dos produtos</t>
  </si>
  <si>
    <t>我買的兩個商品只有一個被送達；其中一個寄錯了，另外也少了其他商品。下單時希望商家多注意包裝。</t>
  </si>
  <si>
    <t>e4bdd5b6263b9fde2cce56ab02e91586</t>
  </si>
  <si>
    <t>93dc7c78fb2b4efe25f1ed813f84992a</t>
  </si>
  <si>
    <t>O produto está atrasado</t>
  </si>
  <si>
    <t>商品延遲了。</t>
  </si>
  <si>
    <t>e5f9f233ad844f06a1b8243e8fb8d5d6</t>
  </si>
  <si>
    <t>afe333c1956628d870ce89ad385f4e9b</t>
  </si>
  <si>
    <t>chegou antes da data</t>
  </si>
  <si>
    <t>提早在日期之前就到了。</t>
  </si>
  <si>
    <t>ed19d7f5da6c2c6d4d79f4ec2425f63f</t>
  </si>
  <si>
    <t>02f751c4c2fc8ca376b65c8847b65f4d</t>
  </si>
  <si>
    <t>produto entregue totalmente diferente do comprado</t>
  </si>
  <si>
    <t>商品交付的內容與我買的完全不同。</t>
  </si>
  <si>
    <t>edf0a61fdccf258654cb87ba64643d27</t>
  </si>
  <si>
    <t>d1edb80f6670902ebbb11765b96873da</t>
  </si>
  <si>
    <t>muito demorado</t>
  </si>
  <si>
    <t>非常慢。</t>
  </si>
  <si>
    <t>ef0188868ec6c080f2c9b8fd22d06994</t>
  </si>
  <si>
    <t>d889a5c3c332cab5d493b0bdd9b8d295</t>
  </si>
  <si>
    <t xml:space="preserve">NÃO AVALIAREI ATÉ A PRESENTA DATA, POIS NÃO RECEBI O PRODUTO. </t>
  </si>
  <si>
    <t>到目前為止我不會評價，因為我還沒收到商品。</t>
  </si>
  <si>
    <t>effa130e19bd7cf1cf15aea694e58789</t>
  </si>
  <si>
    <t>7931c99744c2989d6f5218d38f439804</t>
  </si>
  <si>
    <t>Ótimo Adorei surpe indico.</t>
  </si>
  <si>
    <t>太棒了，我很喜歡，推薦。</t>
  </si>
  <si>
    <t>f5a4e53a7827d90a3873e04a95644b8b</t>
  </si>
  <si>
    <t>42ef77c2949646ec1d09f4f38b249508</t>
  </si>
  <si>
    <t>非常好。</t>
  </si>
  <si>
    <t>f76450776b4095ae058a05a7d431e9f2</t>
  </si>
  <si>
    <t>e823ca8c2818557c5f8afc10f1e2cf2d</t>
  </si>
  <si>
    <t>Era de 12 dias e recebi quase um mês, não culpo a loja em si. Agora as lannister tem que ir em cima dos correios pois a capa chegou 1° que o celular. Obrigado a targaryen foi bom.</t>
  </si>
  <si>
    <t>原本說要12天，但我等了快一個月，我不怪商店本身。現在『Lannister』要去催郵局，因為保護殼先到了，手機的殼還差一點。謝謝『Targaryen』，整體還不錯。</t>
  </si>
  <si>
    <t>fcaf726c0b61b07ef40c8bc2a3e9eeb2</t>
  </si>
  <si>
    <t>83497c05dd75dfe740fb8b0c5482da3b</t>
  </si>
  <si>
    <t>Outras vezes foi tudo ok dessa não sei que ouve</t>
  </si>
  <si>
    <t>其他次都一切OK，這次不知道發生了什麼。</t>
  </si>
  <si>
    <t>sentiment人工標注</t>
  </si>
  <si>
    <t>sentiment_AI</t>
  </si>
  <si>
    <t>sentiment_人工</t>
  </si>
  <si>
    <t>Sentiment是否正確</t>
  </si>
  <si>
    <t>Sentiment Accuracy(%)</t>
  </si>
  <si>
    <t>T01是否正確</t>
  </si>
  <si>
    <t>T02是否正確</t>
  </si>
  <si>
    <t>T03是否正確</t>
  </si>
  <si>
    <t>T04是否正確</t>
  </si>
  <si>
    <t>T05是否正確</t>
  </si>
  <si>
    <t>T06是否正確</t>
  </si>
  <si>
    <t>T07是否正確</t>
  </si>
  <si>
    <t>T08是否正確</t>
  </si>
  <si>
    <t>AI 標注驗證 KPI</t>
  </si>
  <si>
    <t>有效樣本數</t>
  </si>
  <si>
    <t>Sentiment Accuracy</t>
  </si>
  <si>
    <t>Topic</t>
  </si>
  <si>
    <t>TP</t>
  </si>
  <si>
    <t>FP</t>
  </si>
  <si>
    <t>FN</t>
  </si>
  <si>
    <t>TN</t>
  </si>
  <si>
    <t>Precision</t>
  </si>
  <si>
    <t>Recall</t>
  </si>
  <si>
    <t>F1</t>
  </si>
  <si>
    <t>Support</t>
  </si>
  <si>
    <t>T01</t>
  </si>
  <si>
    <t>T02</t>
  </si>
  <si>
    <t>T03</t>
  </si>
  <si>
    <t>T04</t>
  </si>
  <si>
    <t>T05</t>
  </si>
  <si>
    <t>T06</t>
  </si>
  <si>
    <t>T07</t>
  </si>
  <si>
    <t>T08</t>
  </si>
  <si>
    <t>Macro avg</t>
  </si>
  <si>
    <t>Micro avg</t>
  </si>
  <si>
    <t>negative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</si>
</sst>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</font>
    <font>
      <sz val="16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6"/>
      <color rgb="FFFFFFFF"/>
      <name val="新細明體"/>
      <family val="1"/>
      <charset val="136"/>
    </font>
    <font>
      <sz val="16"/>
      <color theme="1"/>
      <name val="新細明體"/>
      <family val="1"/>
      <charset val="136"/>
    </font>
    <font>
      <b/>
      <sz val="14"/>
      <color rgb="FFFFFFFF"/>
      <name val="新細明體"/>
      <family val="1"/>
      <charset val="136"/>
    </font>
    <font>
      <b/>
      <sz val="12"/>
      <color rgb="FF17365D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b/>
      <sz val="12"/>
      <color rgb="FF1F4E78"/>
      <name val="新細明體"/>
      <family val="1"/>
      <charset val="136"/>
    </font>
    <font>
      <b/>
      <sz val="12"/>
      <color rgb="FF375623"/>
      <name val="新細明體"/>
      <family val="1"/>
      <charset val="136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19">
    <border>
      <left/>
      <right/>
      <top/>
      <bottom/>
      <diagonal/>
    </border>
    <border>
      <left style="thin">
        <color rgb="FF163A5C"/>
      </left>
      <right/>
      <top style="thin">
        <color rgb="FF163A5C"/>
      </top>
      <bottom style="thin">
        <color rgb="FF163A5C"/>
      </bottom>
      <diagonal/>
    </border>
    <border>
      <left/>
      <right/>
      <top style="thin">
        <color rgb="FF163A5C"/>
      </top>
      <bottom style="thin">
        <color rgb="FF163A5C"/>
      </bottom>
      <diagonal/>
    </border>
    <border>
      <left/>
      <right style="thin">
        <color rgb="FF163A5C"/>
      </right>
      <top style="thin">
        <color rgb="FF163A5C"/>
      </top>
      <bottom style="thin">
        <color rgb="FF163A5C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/>
      <top/>
      <bottom style="thin">
        <color rgb="FFA9D18E"/>
      </bottom>
      <diagonal/>
    </border>
    <border>
      <left/>
      <right style="thin">
        <color rgb="FFA9D18E"/>
      </right>
      <top/>
      <bottom style="thin">
        <color rgb="FFA9D18E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6" fillId="4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1" fontId="9" fillId="7" borderId="14" xfId="0" applyNumberFormat="1" applyFont="1" applyFill="1" applyBorder="1" applyAlignment="1">
      <alignment horizontal="center" vertical="center"/>
    </xf>
    <xf numFmtId="1" fontId="9" fillId="7" borderId="15" xfId="0" applyNumberFormat="1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1" fontId="9" fillId="7" borderId="17" xfId="0" applyNumberFormat="1" applyFont="1" applyFill="1" applyBorder="1" applyAlignment="1">
      <alignment horizontal="center" vertical="center"/>
    </xf>
    <xf numFmtId="1" fontId="9" fillId="7" borderId="18" xfId="0" applyNumberFormat="1" applyFont="1" applyFill="1" applyBorder="1" applyAlignment="1">
      <alignment horizontal="center" vertical="center"/>
    </xf>
    <xf numFmtId="10" fontId="4" fillId="0" borderId="0" xfId="0" applyNumberFormat="1" applyFont="1">
      <alignment vertical="center"/>
    </xf>
    <xf numFmtId="10" fontId="6" fillId="5" borderId="0" xfId="0" applyNumberFormat="1" applyFont="1" applyFill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9" fillId="7" borderId="14" xfId="0" applyNumberFormat="1" applyFont="1" applyFill="1" applyBorder="1" applyAlignment="1">
      <alignment horizontal="center" vertical="center"/>
    </xf>
    <xf numFmtId="10" fontId="9" fillId="7" borderId="17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15"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新細明體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_ai_sample_v2" displayName="int_ai_sample_v2" ref="A1:N101" totalsRowShown="0" dataDxfId="14">
  <autoFilter ref="A1:N101" xr:uid="{00000000-0009-0000-0100-000001000000}"/>
  <tableColumns count="14">
    <tableColumn id="1" xr3:uid="{00000000-0010-0000-0000-000001000000}" name="review_id" dataDxfId="13"/>
    <tableColumn id="2" xr3:uid="{00000000-0010-0000-0000-000002000000}" name="order_id" dataDxfId="12"/>
    <tableColumn id="3" xr3:uid="{00000000-0010-0000-0000-000003000000}" name="review_score" dataDxfId="11"/>
    <tableColumn id="4" xr3:uid="{00000000-0010-0000-0000-000004000000}" name="review_comment_title_message" dataDxfId="10"/>
    <tableColumn id="5" xr3:uid="{00000000-0010-0000-0000-000005000000}" name="review_translation_tw" dataDxfId="9"/>
    <tableColumn id="6" xr3:uid="{00000000-0010-0000-0000-000006000000}" name="sentiment" dataDxfId="8"/>
    <tableColumn id="7" xr3:uid="{00000000-0010-0000-0000-000007000000}" name="t01_delivery_logistics" dataDxfId="7"/>
    <tableColumn id="8" xr3:uid="{00000000-0010-0000-0000-000008000000}" name="t02_order_fulfillment" dataDxfId="6"/>
    <tableColumn id="9" xr3:uid="{00000000-0010-0000-0000-000009000000}" name="t03_product_quality" dataDxfId="5"/>
    <tableColumn id="10" xr3:uid="{00000000-0010-0000-0000-00000A000000}" name="t04_product_consistency" dataDxfId="4"/>
    <tableColumn id="11" xr3:uid="{00000000-0010-0000-0000-00000B000000}" name="t05_packaging_protection" dataDxfId="3"/>
    <tableColumn id="12" xr3:uid="{00000000-0010-0000-0000-00000C000000}" name="t06_customer_service" dataDxfId="2"/>
    <tableColumn id="13" xr3:uid="{00000000-0010-0000-0000-00000D000000}" name="t07_price_transaction" dataDxfId="1"/>
    <tableColumn id="14" xr3:uid="{00000000-0010-0000-0000-00000E000000}" name="t08_platform_syste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opLeftCell="D1" zoomScaleNormal="100" workbookViewId="0">
      <pane ySplit="1" topLeftCell="A73" activePane="bottomLeft" state="frozen"/>
      <selection activeCell="D1" sqref="D1"/>
      <selection pane="bottomLeft" activeCell="D95" sqref="D95"/>
    </sheetView>
  </sheetViews>
  <sheetFormatPr baseColWidth="10" defaultColWidth="11" defaultRowHeight="15"/>
  <cols>
    <col min="1" max="1" width="36" customWidth="1"/>
    <col min="2" max="2" width="36.33203125" customWidth="1"/>
    <col min="3" max="3" width="14.5" customWidth="1"/>
    <col min="4" max="5" width="80.6640625" customWidth="1"/>
    <col min="6" max="6" width="11.6640625" customWidth="1"/>
    <col min="7" max="7" width="22" customWidth="1"/>
    <col min="8" max="8" width="21.83203125" customWidth="1"/>
    <col min="9" max="9" width="20.83203125" customWidth="1"/>
    <col min="10" max="10" width="24.6640625" customWidth="1"/>
    <col min="11" max="11" width="25.83203125" customWidth="1"/>
    <col min="12" max="12" width="21.83203125" customWidth="1"/>
    <col min="13" max="13" width="21.6640625" customWidth="1"/>
    <col min="14" max="14" width="21.33203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22">
      <c r="A2" s="7" t="s">
        <v>14</v>
      </c>
      <c r="B2" s="7" t="s">
        <v>15</v>
      </c>
      <c r="C2" s="7">
        <v>1</v>
      </c>
      <c r="D2" s="7" t="s">
        <v>16</v>
      </c>
      <c r="E2" s="7" t="s">
        <v>17</v>
      </c>
      <c r="F2" s="7" t="s">
        <v>18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1</v>
      </c>
      <c r="N2" s="7">
        <v>0</v>
      </c>
    </row>
    <row r="3" spans="1:14" ht="22">
      <c r="A3" s="7" t="s">
        <v>19</v>
      </c>
      <c r="B3" s="7" t="s">
        <v>20</v>
      </c>
      <c r="C3" s="7">
        <v>4</v>
      </c>
      <c r="D3" s="7" t="s">
        <v>21</v>
      </c>
      <c r="E3" s="7" t="s">
        <v>22</v>
      </c>
      <c r="F3" s="7" t="s">
        <v>23</v>
      </c>
      <c r="G3" s="7">
        <v>1</v>
      </c>
      <c r="H3" s="7">
        <v>0</v>
      </c>
      <c r="I3" s="7">
        <v>0</v>
      </c>
      <c r="J3" s="7">
        <v>0</v>
      </c>
      <c r="K3" s="7">
        <v>1</v>
      </c>
      <c r="L3" s="7">
        <v>0</v>
      </c>
      <c r="M3" s="7">
        <v>0</v>
      </c>
      <c r="N3" s="7">
        <v>0</v>
      </c>
    </row>
    <row r="4" spans="1:14" ht="22">
      <c r="A4" s="7" t="s">
        <v>24</v>
      </c>
      <c r="B4" s="7" t="s">
        <v>25</v>
      </c>
      <c r="C4" s="7">
        <v>3</v>
      </c>
      <c r="D4" s="7" t="s">
        <v>26</v>
      </c>
      <c r="E4" s="7" t="s">
        <v>27</v>
      </c>
      <c r="F4" s="7" t="s">
        <v>18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0</v>
      </c>
      <c r="M4" s="7">
        <v>0</v>
      </c>
      <c r="N4" s="7">
        <v>0</v>
      </c>
    </row>
    <row r="5" spans="1:14" ht="22">
      <c r="A5" s="7" t="s">
        <v>28</v>
      </c>
      <c r="B5" s="7" t="s">
        <v>29</v>
      </c>
      <c r="C5" s="7">
        <v>4</v>
      </c>
      <c r="D5" s="7" t="s">
        <v>30</v>
      </c>
      <c r="E5" s="7" t="s">
        <v>31</v>
      </c>
      <c r="F5" s="7" t="s">
        <v>23</v>
      </c>
      <c r="G5" s="7">
        <v>0</v>
      </c>
      <c r="H5" s="7">
        <v>0</v>
      </c>
      <c r="I5" s="7">
        <v>0</v>
      </c>
      <c r="J5" s="7">
        <v>1</v>
      </c>
      <c r="K5" s="7">
        <v>0</v>
      </c>
      <c r="L5" s="7">
        <v>0</v>
      </c>
      <c r="M5" s="7">
        <v>0</v>
      </c>
      <c r="N5" s="7">
        <v>0</v>
      </c>
    </row>
    <row r="6" spans="1:14" ht="22">
      <c r="A6" s="7" t="s">
        <v>32</v>
      </c>
      <c r="B6" s="7" t="s">
        <v>33</v>
      </c>
      <c r="C6" s="7">
        <v>4</v>
      </c>
      <c r="D6" s="7" t="s">
        <v>34</v>
      </c>
      <c r="E6" s="7" t="s">
        <v>35</v>
      </c>
      <c r="F6" s="7" t="s">
        <v>23</v>
      </c>
      <c r="G6" s="7">
        <v>0</v>
      </c>
      <c r="H6" s="7">
        <v>0</v>
      </c>
      <c r="I6" s="7">
        <v>1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22">
      <c r="A7" s="7" t="s">
        <v>36</v>
      </c>
      <c r="B7" s="7" t="s">
        <v>37</v>
      </c>
      <c r="C7" s="7">
        <v>2</v>
      </c>
      <c r="D7" s="7" t="s">
        <v>38</v>
      </c>
      <c r="E7" s="7" t="s">
        <v>39</v>
      </c>
      <c r="F7" s="7" t="s">
        <v>18</v>
      </c>
      <c r="G7" s="7">
        <v>1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</row>
    <row r="8" spans="1:14" ht="22">
      <c r="A8" s="7" t="s">
        <v>40</v>
      </c>
      <c r="B8" s="7" t="s">
        <v>41</v>
      </c>
      <c r="C8" s="7">
        <v>2</v>
      </c>
      <c r="D8" s="7" t="s">
        <v>42</v>
      </c>
      <c r="E8" s="7" t="s">
        <v>43</v>
      </c>
      <c r="F8" s="7" t="s">
        <v>18</v>
      </c>
      <c r="G8" s="7">
        <v>1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22">
      <c r="A9" s="7" t="s">
        <v>44</v>
      </c>
      <c r="B9" s="7" t="s">
        <v>45</v>
      </c>
      <c r="C9" s="7">
        <v>1</v>
      </c>
      <c r="D9" s="7" t="s">
        <v>46</v>
      </c>
      <c r="E9" s="7" t="s">
        <v>47</v>
      </c>
      <c r="F9" s="7" t="s">
        <v>18</v>
      </c>
      <c r="G9" s="7">
        <v>0</v>
      </c>
      <c r="H9" s="7">
        <v>0</v>
      </c>
      <c r="I9" s="7">
        <v>1</v>
      </c>
      <c r="J9" s="7">
        <v>1</v>
      </c>
      <c r="K9" s="7">
        <v>0</v>
      </c>
      <c r="L9" s="7">
        <v>0</v>
      </c>
      <c r="M9" s="7">
        <v>0</v>
      </c>
      <c r="N9" s="7">
        <v>0</v>
      </c>
    </row>
    <row r="10" spans="1:14" ht="22">
      <c r="A10" s="7" t="s">
        <v>48</v>
      </c>
      <c r="B10" s="7" t="s">
        <v>49</v>
      </c>
      <c r="C10" s="7">
        <v>4</v>
      </c>
      <c r="D10" s="7" t="s">
        <v>50</v>
      </c>
      <c r="E10" s="7" t="s">
        <v>51</v>
      </c>
      <c r="F10" s="7" t="s">
        <v>52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22">
      <c r="A11" s="7" t="s">
        <v>53</v>
      </c>
      <c r="B11" s="7" t="s">
        <v>54</v>
      </c>
      <c r="C11" s="7">
        <v>3</v>
      </c>
      <c r="D11" s="7" t="s">
        <v>55</v>
      </c>
      <c r="E11" s="7" t="s">
        <v>56</v>
      </c>
      <c r="F11" s="7" t="s">
        <v>52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</row>
    <row r="12" spans="1:14" ht="22">
      <c r="A12" s="7" t="s">
        <v>57</v>
      </c>
      <c r="B12" s="7" t="s">
        <v>58</v>
      </c>
      <c r="C12" s="7">
        <v>1</v>
      </c>
      <c r="D12" s="7" t="s">
        <v>59</v>
      </c>
      <c r="E12" s="7" t="s">
        <v>60</v>
      </c>
      <c r="F12" s="7" t="s">
        <v>18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22">
      <c r="A13" s="7" t="s">
        <v>61</v>
      </c>
      <c r="B13" s="7" t="s">
        <v>62</v>
      </c>
      <c r="C13" s="7">
        <v>5</v>
      </c>
      <c r="D13" s="7" t="s">
        <v>63</v>
      </c>
      <c r="E13" s="7" t="s">
        <v>64</v>
      </c>
      <c r="F13" s="7" t="s">
        <v>23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</v>
      </c>
      <c r="M13" s="7">
        <v>0</v>
      </c>
      <c r="N13" s="7">
        <v>0</v>
      </c>
    </row>
    <row r="14" spans="1:14" ht="22">
      <c r="A14" s="7" t="s">
        <v>65</v>
      </c>
      <c r="B14" s="7" t="s">
        <v>66</v>
      </c>
      <c r="C14" s="7">
        <v>3</v>
      </c>
      <c r="D14" s="7" t="s">
        <v>67</v>
      </c>
      <c r="E14" s="7" t="s">
        <v>68</v>
      </c>
      <c r="F14" s="7" t="s">
        <v>18</v>
      </c>
      <c r="G14" s="7">
        <v>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</row>
    <row r="15" spans="1:14" ht="22">
      <c r="A15" s="7" t="s">
        <v>69</v>
      </c>
      <c r="B15" s="7" t="s">
        <v>70</v>
      </c>
      <c r="C15" s="7">
        <v>4</v>
      </c>
      <c r="D15" s="7" t="s">
        <v>71</v>
      </c>
      <c r="E15" s="7" t="s">
        <v>72</v>
      </c>
      <c r="F15" s="7" t="s">
        <v>23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 spans="1:14" ht="22">
      <c r="A16" s="7" t="s">
        <v>73</v>
      </c>
      <c r="B16" s="7" t="s">
        <v>74</v>
      </c>
      <c r="C16" s="7">
        <v>1</v>
      </c>
      <c r="D16" s="7" t="s">
        <v>75</v>
      </c>
      <c r="E16" s="7" t="s">
        <v>76</v>
      </c>
      <c r="F16" s="7" t="s">
        <v>18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1</v>
      </c>
      <c r="M16" s="7">
        <v>1</v>
      </c>
      <c r="N16" s="7">
        <v>0</v>
      </c>
    </row>
    <row r="17" spans="1:14" ht="22">
      <c r="A17" s="7" t="s">
        <v>77</v>
      </c>
      <c r="B17" s="7" t="s">
        <v>78</v>
      </c>
      <c r="C17" s="7">
        <v>3</v>
      </c>
      <c r="D17" s="7" t="s">
        <v>79</v>
      </c>
      <c r="E17" s="7" t="s">
        <v>80</v>
      </c>
      <c r="F17" s="7" t="s">
        <v>18</v>
      </c>
      <c r="G17" s="7">
        <v>0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</row>
    <row r="18" spans="1:14" ht="22">
      <c r="A18" s="7" t="s">
        <v>81</v>
      </c>
      <c r="B18" s="7" t="s">
        <v>82</v>
      </c>
      <c r="C18" s="7">
        <v>1</v>
      </c>
      <c r="D18" s="7" t="s">
        <v>83</v>
      </c>
      <c r="E18" s="7" t="s">
        <v>84</v>
      </c>
      <c r="F18" s="7" t="s">
        <v>18</v>
      </c>
      <c r="G18" s="7">
        <v>0</v>
      </c>
      <c r="H18" s="7">
        <v>0</v>
      </c>
      <c r="I18" s="7">
        <v>1</v>
      </c>
      <c r="J18" s="7">
        <v>0</v>
      </c>
      <c r="K18" s="7">
        <v>0</v>
      </c>
      <c r="L18" s="7">
        <v>1</v>
      </c>
      <c r="M18" s="7">
        <v>1</v>
      </c>
      <c r="N18" s="7">
        <v>0</v>
      </c>
    </row>
    <row r="19" spans="1:14" ht="22">
      <c r="A19" s="7" t="s">
        <v>85</v>
      </c>
      <c r="B19" s="7" t="s">
        <v>86</v>
      </c>
      <c r="C19" s="7">
        <v>2</v>
      </c>
      <c r="D19" s="7" t="s">
        <v>87</v>
      </c>
      <c r="E19" s="7" t="s">
        <v>88</v>
      </c>
      <c r="F19" s="7" t="s">
        <v>52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</row>
    <row r="20" spans="1:14" ht="22">
      <c r="A20" s="7" t="s">
        <v>89</v>
      </c>
      <c r="B20" s="7" t="s">
        <v>90</v>
      </c>
      <c r="C20" s="7">
        <v>5</v>
      </c>
      <c r="D20" s="7" t="s">
        <v>91</v>
      </c>
      <c r="E20" s="7" t="s">
        <v>92</v>
      </c>
      <c r="F20" s="7" t="s">
        <v>23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22">
      <c r="A21" s="7" t="s">
        <v>93</v>
      </c>
      <c r="B21" s="7" t="s">
        <v>94</v>
      </c>
      <c r="C21" s="7">
        <v>5</v>
      </c>
      <c r="D21" s="7" t="s">
        <v>95</v>
      </c>
      <c r="E21" s="7" t="s">
        <v>96</v>
      </c>
      <c r="F21" s="7" t="s">
        <v>23</v>
      </c>
      <c r="G21" s="7">
        <v>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</row>
    <row r="22" spans="1:14" ht="22">
      <c r="A22" s="7" t="s">
        <v>97</v>
      </c>
      <c r="B22" s="7" t="s">
        <v>98</v>
      </c>
      <c r="C22" s="7">
        <v>1</v>
      </c>
      <c r="D22" s="7" t="s">
        <v>99</v>
      </c>
      <c r="E22" s="7" t="s">
        <v>100</v>
      </c>
      <c r="F22" s="7" t="s">
        <v>18</v>
      </c>
      <c r="G22" s="7">
        <v>0</v>
      </c>
      <c r="H22" s="7">
        <v>0</v>
      </c>
      <c r="I22" s="7">
        <v>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22">
      <c r="A23" s="7" t="s">
        <v>101</v>
      </c>
      <c r="B23" s="7" t="s">
        <v>102</v>
      </c>
      <c r="C23" s="7">
        <v>5</v>
      </c>
      <c r="D23" s="7" t="s">
        <v>103</v>
      </c>
      <c r="E23" s="7" t="s">
        <v>104</v>
      </c>
      <c r="F23" s="7" t="s">
        <v>23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</row>
    <row r="24" spans="1:14" ht="22">
      <c r="A24" s="7" t="s">
        <v>105</v>
      </c>
      <c r="B24" s="7" t="s">
        <v>106</v>
      </c>
      <c r="C24" s="7">
        <v>1</v>
      </c>
      <c r="D24" s="7" t="s">
        <v>107</v>
      </c>
      <c r="E24" s="7" t="s">
        <v>108</v>
      </c>
      <c r="F24" s="7" t="s">
        <v>18</v>
      </c>
      <c r="G24" s="7">
        <v>0</v>
      </c>
      <c r="H24" s="7">
        <v>1</v>
      </c>
      <c r="I24" s="7">
        <v>0</v>
      </c>
      <c r="J24" s="7">
        <v>1</v>
      </c>
      <c r="K24" s="7">
        <v>0</v>
      </c>
      <c r="L24" s="7">
        <v>1</v>
      </c>
      <c r="M24" s="7">
        <v>0</v>
      </c>
      <c r="N24" s="7">
        <v>0</v>
      </c>
    </row>
    <row r="25" spans="1:14" ht="22">
      <c r="A25" s="7" t="s">
        <v>109</v>
      </c>
      <c r="B25" s="7" t="s">
        <v>110</v>
      </c>
      <c r="C25" s="7">
        <v>4</v>
      </c>
      <c r="D25" s="7" t="s">
        <v>111</v>
      </c>
      <c r="E25" s="7" t="s">
        <v>112</v>
      </c>
      <c r="F25" s="7" t="s">
        <v>18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</row>
    <row r="26" spans="1:14" ht="22">
      <c r="A26" s="7" t="s">
        <v>113</v>
      </c>
      <c r="B26" s="7" t="s">
        <v>114</v>
      </c>
      <c r="C26" s="7">
        <v>4</v>
      </c>
      <c r="D26" s="7" t="s">
        <v>115</v>
      </c>
      <c r="E26" s="7" t="s">
        <v>116</v>
      </c>
      <c r="F26" s="7" t="s">
        <v>23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</row>
    <row r="27" spans="1:14" ht="22">
      <c r="A27" s="7" t="s">
        <v>117</v>
      </c>
      <c r="B27" s="7" t="s">
        <v>118</v>
      </c>
      <c r="C27" s="7">
        <v>3</v>
      </c>
      <c r="D27" s="7" t="s">
        <v>119</v>
      </c>
      <c r="E27" s="7" t="s">
        <v>120</v>
      </c>
      <c r="F27" s="7" t="s">
        <v>18</v>
      </c>
      <c r="G27" s="7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</row>
    <row r="28" spans="1:14" ht="22">
      <c r="A28" s="7" t="s">
        <v>121</v>
      </c>
      <c r="B28" s="7" t="s">
        <v>122</v>
      </c>
      <c r="C28" s="7">
        <v>2</v>
      </c>
      <c r="D28" s="7" t="s">
        <v>123</v>
      </c>
      <c r="E28" s="7" t="s">
        <v>124</v>
      </c>
      <c r="F28" s="7" t="s">
        <v>18</v>
      </c>
      <c r="G28" s="7">
        <v>1</v>
      </c>
      <c r="H28" s="7">
        <v>1</v>
      </c>
      <c r="I28" s="7">
        <v>0</v>
      </c>
      <c r="J28" s="7">
        <v>0</v>
      </c>
      <c r="K28" s="7">
        <v>0</v>
      </c>
      <c r="L28" s="7">
        <v>0</v>
      </c>
      <c r="M28" s="7">
        <v>1</v>
      </c>
      <c r="N28" s="7">
        <v>0</v>
      </c>
    </row>
    <row r="29" spans="1:14" ht="22">
      <c r="A29" s="7" t="s">
        <v>125</v>
      </c>
      <c r="B29" s="7" t="s">
        <v>126</v>
      </c>
      <c r="C29" s="7">
        <v>5</v>
      </c>
      <c r="D29" s="7" t="s">
        <v>127</v>
      </c>
      <c r="E29" s="7" t="s">
        <v>128</v>
      </c>
      <c r="F29" s="7" t="s">
        <v>23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</row>
    <row r="30" spans="1:14" ht="22">
      <c r="A30" s="7" t="s">
        <v>129</v>
      </c>
      <c r="B30" s="7" t="s">
        <v>130</v>
      </c>
      <c r="C30" s="7">
        <v>2</v>
      </c>
      <c r="D30" s="7" t="s">
        <v>131</v>
      </c>
      <c r="E30" s="7" t="s">
        <v>132</v>
      </c>
      <c r="F30" s="7" t="s">
        <v>18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22">
      <c r="A31" s="7" t="s">
        <v>133</v>
      </c>
      <c r="B31" s="7" t="s">
        <v>134</v>
      </c>
      <c r="C31" s="7">
        <v>2</v>
      </c>
      <c r="D31" s="7" t="s">
        <v>135</v>
      </c>
      <c r="E31" s="7" t="s">
        <v>136</v>
      </c>
      <c r="F31" s="7" t="s">
        <v>18</v>
      </c>
      <c r="G31" s="7">
        <v>1</v>
      </c>
      <c r="H31" s="7">
        <v>0</v>
      </c>
      <c r="I31" s="7">
        <v>0</v>
      </c>
      <c r="J31" s="7">
        <v>0</v>
      </c>
      <c r="K31" s="7">
        <v>0</v>
      </c>
      <c r="L31" s="7">
        <v>1</v>
      </c>
      <c r="M31" s="7">
        <v>0</v>
      </c>
      <c r="N31" s="7">
        <v>0</v>
      </c>
    </row>
    <row r="32" spans="1:14" ht="22">
      <c r="A32" s="7" t="s">
        <v>137</v>
      </c>
      <c r="B32" s="7" t="s">
        <v>138</v>
      </c>
      <c r="C32" s="7">
        <v>5</v>
      </c>
      <c r="D32" s="7" t="s">
        <v>139</v>
      </c>
      <c r="E32" s="7" t="s">
        <v>140</v>
      </c>
      <c r="F32" s="7" t="s">
        <v>23</v>
      </c>
      <c r="G32" s="7">
        <v>0</v>
      </c>
      <c r="H32" s="7">
        <v>0</v>
      </c>
      <c r="I32" s="7">
        <v>1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22">
      <c r="A33" s="7" t="s">
        <v>141</v>
      </c>
      <c r="B33" s="7" t="s">
        <v>142</v>
      </c>
      <c r="C33" s="7">
        <v>5</v>
      </c>
      <c r="D33" s="7" t="s">
        <v>143</v>
      </c>
      <c r="E33" s="7" t="s">
        <v>144</v>
      </c>
      <c r="F33" s="7" t="s">
        <v>23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</row>
    <row r="34" spans="1:14" ht="22">
      <c r="A34" s="7" t="s">
        <v>145</v>
      </c>
      <c r="B34" s="7" t="s">
        <v>146</v>
      </c>
      <c r="C34" s="7">
        <v>1</v>
      </c>
      <c r="D34" s="7" t="s">
        <v>147</v>
      </c>
      <c r="E34" s="7" t="s">
        <v>148</v>
      </c>
      <c r="F34" s="7" t="s">
        <v>18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22">
      <c r="A35" s="7" t="s">
        <v>149</v>
      </c>
      <c r="B35" s="7" t="s">
        <v>150</v>
      </c>
      <c r="C35" s="7">
        <v>5</v>
      </c>
      <c r="D35" s="7" t="s">
        <v>151</v>
      </c>
      <c r="E35" s="7" t="s">
        <v>152</v>
      </c>
      <c r="F35" s="7" t="s">
        <v>23</v>
      </c>
      <c r="G35" s="7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</row>
    <row r="36" spans="1:14" ht="22">
      <c r="A36" s="7" t="s">
        <v>153</v>
      </c>
      <c r="B36" s="7" t="s">
        <v>154</v>
      </c>
      <c r="C36" s="7">
        <v>5</v>
      </c>
      <c r="D36" s="7" t="s">
        <v>155</v>
      </c>
      <c r="E36" s="7" t="s">
        <v>156</v>
      </c>
      <c r="F36" s="7" t="s">
        <v>23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22">
      <c r="A37" s="7" t="s">
        <v>157</v>
      </c>
      <c r="B37" s="7" t="s">
        <v>158</v>
      </c>
      <c r="C37" s="7">
        <v>4</v>
      </c>
      <c r="D37" s="7" t="s">
        <v>159</v>
      </c>
      <c r="E37" s="7" t="s">
        <v>160</v>
      </c>
      <c r="F37" s="7" t="s">
        <v>23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</row>
    <row r="38" spans="1:14" ht="22">
      <c r="A38" s="7" t="s">
        <v>161</v>
      </c>
      <c r="B38" s="7" t="s">
        <v>162</v>
      </c>
      <c r="C38" s="7">
        <v>4</v>
      </c>
      <c r="D38" s="7" t="s">
        <v>163</v>
      </c>
      <c r="E38" s="7" t="s">
        <v>164</v>
      </c>
      <c r="F38" s="7" t="s">
        <v>18</v>
      </c>
      <c r="G38" s="7">
        <v>0</v>
      </c>
      <c r="H38" s="7">
        <v>1</v>
      </c>
      <c r="I38" s="7">
        <v>0</v>
      </c>
      <c r="J38" s="7">
        <v>1</v>
      </c>
      <c r="K38" s="7">
        <v>0</v>
      </c>
      <c r="L38" s="7">
        <v>0</v>
      </c>
      <c r="M38" s="7">
        <v>0</v>
      </c>
      <c r="N38" s="7">
        <v>0</v>
      </c>
    </row>
    <row r="39" spans="1:14" ht="22">
      <c r="A39" s="7" t="s">
        <v>165</v>
      </c>
      <c r="B39" s="7" t="s">
        <v>166</v>
      </c>
      <c r="C39" s="7">
        <v>4</v>
      </c>
      <c r="D39" s="7" t="s">
        <v>167</v>
      </c>
      <c r="E39" s="7" t="s">
        <v>168</v>
      </c>
      <c r="F39" s="7" t="s">
        <v>169</v>
      </c>
      <c r="G39" s="7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</row>
    <row r="40" spans="1:14" ht="22">
      <c r="A40" s="7" t="s">
        <v>170</v>
      </c>
      <c r="B40" s="7" t="s">
        <v>171</v>
      </c>
      <c r="C40" s="7">
        <v>5</v>
      </c>
      <c r="D40" s="7" t="s">
        <v>172</v>
      </c>
      <c r="E40" s="7" t="s">
        <v>173</v>
      </c>
      <c r="F40" s="7" t="s">
        <v>23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22">
      <c r="A41" s="7" t="s">
        <v>174</v>
      </c>
      <c r="B41" s="7" t="s">
        <v>175</v>
      </c>
      <c r="C41" s="7">
        <v>5</v>
      </c>
      <c r="D41" s="7" t="s">
        <v>176</v>
      </c>
      <c r="E41" s="7" t="s">
        <v>177</v>
      </c>
      <c r="F41" s="7" t="s">
        <v>23</v>
      </c>
      <c r="G41" s="7">
        <v>1</v>
      </c>
      <c r="H41" s="7">
        <v>0</v>
      </c>
      <c r="I41" s="7">
        <v>0</v>
      </c>
      <c r="J41" s="7">
        <v>0</v>
      </c>
      <c r="K41" s="7">
        <v>0</v>
      </c>
      <c r="L41" s="7">
        <v>1</v>
      </c>
      <c r="M41" s="7">
        <v>0</v>
      </c>
      <c r="N41" s="7">
        <v>0</v>
      </c>
    </row>
    <row r="42" spans="1:14" ht="22">
      <c r="A42" s="7" t="s">
        <v>178</v>
      </c>
      <c r="B42" s="7" t="s">
        <v>179</v>
      </c>
      <c r="C42" s="7">
        <v>5</v>
      </c>
      <c r="D42" s="7" t="s">
        <v>180</v>
      </c>
      <c r="E42" s="7" t="s">
        <v>180</v>
      </c>
      <c r="F42" s="7" t="s">
        <v>23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22">
      <c r="A43" s="7" t="s">
        <v>181</v>
      </c>
      <c r="B43" s="7" t="s">
        <v>182</v>
      </c>
      <c r="C43" s="7">
        <v>3</v>
      </c>
      <c r="D43" s="7" t="s">
        <v>183</v>
      </c>
      <c r="E43" s="7" t="s">
        <v>184</v>
      </c>
      <c r="F43" s="7" t="s">
        <v>18</v>
      </c>
      <c r="G43" s="7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</row>
    <row r="44" spans="1:14" ht="22">
      <c r="A44" s="7" t="s">
        <v>185</v>
      </c>
      <c r="B44" s="7" t="s">
        <v>186</v>
      </c>
      <c r="C44" s="7">
        <v>3</v>
      </c>
      <c r="D44" s="7" t="s">
        <v>187</v>
      </c>
      <c r="E44" s="7" t="s">
        <v>188</v>
      </c>
      <c r="F44" s="7" t="s">
        <v>23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1</v>
      </c>
      <c r="N44" s="7">
        <v>0</v>
      </c>
    </row>
    <row r="45" spans="1:14" ht="22">
      <c r="A45" s="7" t="s">
        <v>189</v>
      </c>
      <c r="B45" s="7" t="s">
        <v>190</v>
      </c>
      <c r="C45" s="7">
        <v>3</v>
      </c>
      <c r="D45" s="7" t="s">
        <v>191</v>
      </c>
      <c r="E45" s="7" t="s">
        <v>192</v>
      </c>
      <c r="F45" s="7" t="s">
        <v>23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</row>
    <row r="46" spans="1:14" ht="22">
      <c r="A46" s="7" t="s">
        <v>193</v>
      </c>
      <c r="B46" s="7" t="s">
        <v>194</v>
      </c>
      <c r="C46" s="7">
        <v>3</v>
      </c>
      <c r="D46" s="7" t="s">
        <v>195</v>
      </c>
      <c r="E46" s="7" t="s">
        <v>196</v>
      </c>
      <c r="F46" s="7" t="s">
        <v>18</v>
      </c>
      <c r="G46" s="7">
        <v>0</v>
      </c>
      <c r="H46" s="7">
        <v>0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22">
      <c r="A47" s="7" t="s">
        <v>197</v>
      </c>
      <c r="B47" s="7" t="s">
        <v>198</v>
      </c>
      <c r="C47" s="7">
        <v>1</v>
      </c>
      <c r="D47" s="7" t="s">
        <v>199</v>
      </c>
      <c r="E47" s="7" t="s">
        <v>200</v>
      </c>
      <c r="F47" s="7" t="s">
        <v>52</v>
      </c>
      <c r="G47" s="7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</row>
    <row r="48" spans="1:14" ht="22">
      <c r="A48" s="7" t="s">
        <v>201</v>
      </c>
      <c r="B48" s="7" t="s">
        <v>202</v>
      </c>
      <c r="C48" s="7">
        <v>5</v>
      </c>
      <c r="D48" s="7" t="s">
        <v>203</v>
      </c>
      <c r="E48" s="7" t="s">
        <v>204</v>
      </c>
      <c r="F48" s="7" t="s">
        <v>23</v>
      </c>
      <c r="G48" s="7">
        <v>1</v>
      </c>
      <c r="H48" s="7">
        <v>0</v>
      </c>
      <c r="I48" s="7">
        <v>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ht="22">
      <c r="A49" s="7" t="s">
        <v>205</v>
      </c>
      <c r="B49" s="7" t="s">
        <v>206</v>
      </c>
      <c r="C49" s="7">
        <v>1</v>
      </c>
      <c r="D49" s="7" t="s">
        <v>207</v>
      </c>
      <c r="E49" s="7" t="s">
        <v>208</v>
      </c>
      <c r="F49" s="7" t="s">
        <v>18</v>
      </c>
      <c r="G49" s="7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1</v>
      </c>
      <c r="N49" s="7">
        <v>0</v>
      </c>
    </row>
    <row r="50" spans="1:14" ht="22">
      <c r="A50" s="7" t="s">
        <v>209</v>
      </c>
      <c r="B50" s="7" t="s">
        <v>210</v>
      </c>
      <c r="C50" s="7">
        <v>5</v>
      </c>
      <c r="D50" s="7" t="s">
        <v>211</v>
      </c>
      <c r="E50" s="7" t="s">
        <v>212</v>
      </c>
      <c r="F50" s="7" t="s">
        <v>23</v>
      </c>
      <c r="G50" s="7">
        <v>0</v>
      </c>
      <c r="H50" s="7">
        <v>0</v>
      </c>
      <c r="I50" s="7">
        <v>1</v>
      </c>
      <c r="J50" s="7">
        <v>0</v>
      </c>
      <c r="K50" s="7">
        <v>0</v>
      </c>
      <c r="L50" s="7">
        <v>1</v>
      </c>
      <c r="M50" s="7">
        <v>0</v>
      </c>
      <c r="N50" s="7">
        <v>0</v>
      </c>
    </row>
    <row r="51" spans="1:14" ht="22">
      <c r="A51" s="7" t="s">
        <v>213</v>
      </c>
      <c r="B51" s="7" t="s">
        <v>214</v>
      </c>
      <c r="C51" s="7">
        <v>3</v>
      </c>
      <c r="D51" s="7" t="s">
        <v>215</v>
      </c>
      <c r="E51" s="7" t="s">
        <v>216</v>
      </c>
      <c r="F51" s="7" t="s">
        <v>18</v>
      </c>
      <c r="G51" s="7">
        <v>1</v>
      </c>
      <c r="H51" s="7">
        <v>0</v>
      </c>
      <c r="I51" s="7">
        <v>0</v>
      </c>
      <c r="J51" s="7">
        <v>0</v>
      </c>
      <c r="K51" s="7">
        <v>0</v>
      </c>
      <c r="L51" s="7">
        <v>1</v>
      </c>
      <c r="M51" s="7">
        <v>0</v>
      </c>
      <c r="N51" s="7">
        <v>0</v>
      </c>
    </row>
    <row r="52" spans="1:14" ht="22">
      <c r="A52" s="7" t="s">
        <v>217</v>
      </c>
      <c r="B52" s="7" t="s">
        <v>218</v>
      </c>
      <c r="C52" s="7">
        <v>2</v>
      </c>
      <c r="D52" s="7" t="s">
        <v>219</v>
      </c>
      <c r="E52" s="7" t="s">
        <v>220</v>
      </c>
      <c r="F52" s="7" t="s">
        <v>18</v>
      </c>
      <c r="G52" s="7">
        <v>0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7">
        <v>0</v>
      </c>
      <c r="N52" s="7">
        <v>0</v>
      </c>
    </row>
    <row r="53" spans="1:14" ht="22">
      <c r="A53" s="7" t="s">
        <v>221</v>
      </c>
      <c r="B53" s="7" t="s">
        <v>222</v>
      </c>
      <c r="C53" s="7">
        <v>2</v>
      </c>
      <c r="D53" s="7" t="s">
        <v>223</v>
      </c>
      <c r="E53" s="7" t="s">
        <v>224</v>
      </c>
      <c r="F53" s="7" t="s">
        <v>18</v>
      </c>
      <c r="G53" s="7">
        <v>0</v>
      </c>
      <c r="H53" s="7">
        <v>0</v>
      </c>
      <c r="I53" s="7">
        <v>0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</row>
    <row r="54" spans="1:14" ht="22">
      <c r="A54" s="7" t="s">
        <v>225</v>
      </c>
      <c r="B54" s="7" t="s">
        <v>226</v>
      </c>
      <c r="C54" s="7">
        <v>5</v>
      </c>
      <c r="D54" s="7" t="s">
        <v>227</v>
      </c>
      <c r="E54" s="7" t="s">
        <v>228</v>
      </c>
      <c r="F54" s="7" t="s">
        <v>23</v>
      </c>
      <c r="G54" s="7">
        <v>1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</row>
    <row r="55" spans="1:14" ht="22">
      <c r="A55" s="7" t="s">
        <v>229</v>
      </c>
      <c r="B55" s="7" t="s">
        <v>230</v>
      </c>
      <c r="C55" s="7">
        <v>2</v>
      </c>
      <c r="D55" s="7" t="s">
        <v>231</v>
      </c>
      <c r="E55" s="7" t="s">
        <v>232</v>
      </c>
      <c r="F55" s="7" t="s">
        <v>18</v>
      </c>
      <c r="G55" s="7">
        <v>0</v>
      </c>
      <c r="H55" s="7">
        <v>0</v>
      </c>
      <c r="I55" s="7">
        <v>0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</row>
    <row r="56" spans="1:14" ht="22">
      <c r="A56" s="7" t="s">
        <v>233</v>
      </c>
      <c r="B56" s="7" t="s">
        <v>234</v>
      </c>
      <c r="C56" s="7">
        <v>2</v>
      </c>
      <c r="D56" s="7" t="s">
        <v>235</v>
      </c>
      <c r="E56" s="7" t="s">
        <v>236</v>
      </c>
      <c r="F56" s="7" t="s">
        <v>18</v>
      </c>
      <c r="G56" s="7">
        <v>0</v>
      </c>
      <c r="H56" s="7">
        <v>0</v>
      </c>
      <c r="I56" s="7">
        <v>0</v>
      </c>
      <c r="J56" s="7">
        <v>1</v>
      </c>
      <c r="K56" s="7">
        <v>0</v>
      </c>
      <c r="L56" s="7">
        <v>1</v>
      </c>
      <c r="M56" s="7">
        <v>0</v>
      </c>
      <c r="N56" s="7">
        <v>0</v>
      </c>
    </row>
    <row r="57" spans="1:14" ht="22">
      <c r="A57" s="7" t="s">
        <v>237</v>
      </c>
      <c r="B57" s="7" t="s">
        <v>238</v>
      </c>
      <c r="C57" s="7">
        <v>4</v>
      </c>
      <c r="D57" s="7" t="s">
        <v>239</v>
      </c>
      <c r="E57" s="7" t="s">
        <v>240</v>
      </c>
      <c r="F57" s="7" t="s">
        <v>52</v>
      </c>
      <c r="G57" s="7">
        <v>0</v>
      </c>
      <c r="H57" s="7">
        <v>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</row>
    <row r="58" spans="1:14" ht="22">
      <c r="A58" s="7" t="s">
        <v>241</v>
      </c>
      <c r="B58" s="7" t="s">
        <v>242</v>
      </c>
      <c r="C58" s="7">
        <v>3</v>
      </c>
      <c r="D58" s="7" t="s">
        <v>243</v>
      </c>
      <c r="E58" s="7" t="s">
        <v>244</v>
      </c>
      <c r="F58" s="7" t="s">
        <v>23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</row>
    <row r="59" spans="1:14" ht="22">
      <c r="A59" s="7" t="s">
        <v>245</v>
      </c>
      <c r="B59" s="7" t="s">
        <v>246</v>
      </c>
      <c r="C59" s="7">
        <v>1</v>
      </c>
      <c r="D59" s="7" t="s">
        <v>247</v>
      </c>
      <c r="E59" s="7" t="s">
        <v>248</v>
      </c>
      <c r="F59" s="7" t="s">
        <v>52</v>
      </c>
      <c r="G59" s="7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</row>
    <row r="60" spans="1:14" ht="22">
      <c r="A60" s="7" t="s">
        <v>249</v>
      </c>
      <c r="B60" s="7" t="s">
        <v>250</v>
      </c>
      <c r="C60" s="7">
        <v>3</v>
      </c>
      <c r="D60" s="7" t="s">
        <v>251</v>
      </c>
      <c r="E60" s="7" t="s">
        <v>252</v>
      </c>
      <c r="F60" s="7" t="s">
        <v>18</v>
      </c>
      <c r="G60" s="7">
        <v>0</v>
      </c>
      <c r="H60" s="7">
        <v>0</v>
      </c>
      <c r="I60" s="7">
        <v>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</row>
    <row r="61" spans="1:14" ht="22">
      <c r="A61" s="7" t="s">
        <v>253</v>
      </c>
      <c r="B61" s="7" t="s">
        <v>254</v>
      </c>
      <c r="C61" s="7">
        <v>5</v>
      </c>
      <c r="D61" s="7" t="s">
        <v>255</v>
      </c>
      <c r="E61" s="7" t="s">
        <v>256</v>
      </c>
      <c r="F61" s="7" t="s">
        <v>23</v>
      </c>
      <c r="G61" s="7">
        <v>0</v>
      </c>
      <c r="H61" s="7">
        <v>0</v>
      </c>
      <c r="I61" s="7">
        <v>1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</row>
    <row r="62" spans="1:14" ht="22">
      <c r="A62" s="7" t="s">
        <v>257</v>
      </c>
      <c r="B62" s="7" t="s">
        <v>258</v>
      </c>
      <c r="C62" s="7">
        <v>4</v>
      </c>
      <c r="D62" s="7" t="s">
        <v>259</v>
      </c>
      <c r="E62" s="7" t="s">
        <v>260</v>
      </c>
      <c r="F62" s="7" t="s">
        <v>23</v>
      </c>
      <c r="G62" s="7">
        <v>1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</row>
    <row r="63" spans="1:14" ht="22">
      <c r="A63" s="7" t="s">
        <v>261</v>
      </c>
      <c r="B63" s="7" t="s">
        <v>262</v>
      </c>
      <c r="C63" s="7">
        <v>1</v>
      </c>
      <c r="D63" s="7" t="s">
        <v>263</v>
      </c>
      <c r="E63" s="7" t="s">
        <v>264</v>
      </c>
      <c r="F63" s="7" t="s">
        <v>18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1</v>
      </c>
      <c r="M63" s="7">
        <v>0</v>
      </c>
      <c r="N63" s="7">
        <v>1</v>
      </c>
    </row>
    <row r="64" spans="1:14" ht="22">
      <c r="A64" s="7" t="s">
        <v>265</v>
      </c>
      <c r="B64" s="7" t="s">
        <v>266</v>
      </c>
      <c r="C64" s="7">
        <v>4</v>
      </c>
      <c r="D64" s="7" t="s">
        <v>267</v>
      </c>
      <c r="E64" s="7" t="s">
        <v>268</v>
      </c>
      <c r="F64" s="7" t="s">
        <v>18</v>
      </c>
      <c r="G64" s="7">
        <v>1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</row>
    <row r="65" spans="1:14" ht="22">
      <c r="A65" s="7" t="s">
        <v>269</v>
      </c>
      <c r="B65" s="7" t="s">
        <v>270</v>
      </c>
      <c r="C65" s="7">
        <v>3</v>
      </c>
      <c r="D65" s="7" t="s">
        <v>271</v>
      </c>
      <c r="E65" s="7" t="s">
        <v>272</v>
      </c>
      <c r="F65" s="7" t="s">
        <v>18</v>
      </c>
      <c r="G65" s="7">
        <v>0</v>
      </c>
      <c r="H65" s="7">
        <v>0</v>
      </c>
      <c r="I65" s="7">
        <v>1</v>
      </c>
      <c r="J65" s="7">
        <v>0</v>
      </c>
      <c r="K65" s="7">
        <v>0</v>
      </c>
      <c r="L65" s="7">
        <v>1</v>
      </c>
      <c r="M65" s="7">
        <v>0</v>
      </c>
      <c r="N65" s="7">
        <v>0</v>
      </c>
    </row>
    <row r="66" spans="1:14" ht="22">
      <c r="A66" s="7" t="s">
        <v>273</v>
      </c>
      <c r="B66" s="7" t="s">
        <v>274</v>
      </c>
      <c r="C66" s="7">
        <v>1</v>
      </c>
      <c r="D66" s="7" t="s">
        <v>275</v>
      </c>
      <c r="E66" s="7" t="s">
        <v>276</v>
      </c>
      <c r="F66" s="7" t="s">
        <v>18</v>
      </c>
      <c r="G66" s="7">
        <v>1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</row>
    <row r="67" spans="1:14" ht="22">
      <c r="A67" s="7" t="s">
        <v>277</v>
      </c>
      <c r="B67" s="7" t="s">
        <v>278</v>
      </c>
      <c r="C67" s="7">
        <v>1</v>
      </c>
      <c r="D67" s="7" t="s">
        <v>279</v>
      </c>
      <c r="E67" s="7" t="s">
        <v>280</v>
      </c>
      <c r="F67" s="7" t="s">
        <v>18</v>
      </c>
      <c r="G67" s="7">
        <v>0</v>
      </c>
      <c r="H67" s="7">
        <v>1</v>
      </c>
      <c r="I67" s="7">
        <v>0</v>
      </c>
      <c r="J67" s="7">
        <v>1</v>
      </c>
      <c r="K67" s="7">
        <v>0</v>
      </c>
      <c r="L67" s="7">
        <v>0</v>
      </c>
      <c r="M67" s="7">
        <v>0</v>
      </c>
      <c r="N67" s="7">
        <v>0</v>
      </c>
    </row>
    <row r="68" spans="1:14" ht="22">
      <c r="A68" s="7" t="s">
        <v>281</v>
      </c>
      <c r="B68" s="7" t="s">
        <v>282</v>
      </c>
      <c r="C68" s="7">
        <v>2</v>
      </c>
      <c r="D68" s="7" t="s">
        <v>283</v>
      </c>
      <c r="E68" s="7" t="s">
        <v>284</v>
      </c>
      <c r="F68" s="7" t="s">
        <v>18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</row>
    <row r="69" spans="1:14" ht="22">
      <c r="A69" s="7" t="s">
        <v>285</v>
      </c>
      <c r="B69" s="7" t="s">
        <v>286</v>
      </c>
      <c r="C69" s="7">
        <v>3</v>
      </c>
      <c r="D69" s="7" t="s">
        <v>287</v>
      </c>
      <c r="E69" s="7" t="s">
        <v>288</v>
      </c>
      <c r="F69" s="7" t="s">
        <v>23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</row>
    <row r="70" spans="1:14" ht="22">
      <c r="A70" s="7" t="s">
        <v>289</v>
      </c>
      <c r="B70" s="7" t="s">
        <v>290</v>
      </c>
      <c r="C70" s="7">
        <v>4</v>
      </c>
      <c r="D70" s="7" t="s">
        <v>291</v>
      </c>
      <c r="E70" s="7" t="s">
        <v>292</v>
      </c>
      <c r="F70" s="7" t="s">
        <v>52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</row>
    <row r="71" spans="1:14" ht="22">
      <c r="A71" s="7" t="s">
        <v>293</v>
      </c>
      <c r="B71" s="7" t="s">
        <v>294</v>
      </c>
      <c r="C71" s="7">
        <v>2</v>
      </c>
      <c r="D71" s="7" t="s">
        <v>295</v>
      </c>
      <c r="E71" s="7" t="s">
        <v>296</v>
      </c>
      <c r="F71" s="7" t="s">
        <v>18</v>
      </c>
      <c r="G71" s="7">
        <v>0</v>
      </c>
      <c r="H71" s="7">
        <v>1</v>
      </c>
      <c r="I71" s="7">
        <v>0</v>
      </c>
      <c r="J71" s="7">
        <v>1</v>
      </c>
      <c r="K71" s="7">
        <v>0</v>
      </c>
      <c r="L71" s="7">
        <v>1</v>
      </c>
      <c r="M71" s="7">
        <v>0</v>
      </c>
      <c r="N71" s="7">
        <v>0</v>
      </c>
    </row>
    <row r="72" spans="1:14" ht="22">
      <c r="A72" s="7" t="s">
        <v>297</v>
      </c>
      <c r="B72" s="7" t="s">
        <v>298</v>
      </c>
      <c r="C72" s="7">
        <v>2</v>
      </c>
      <c r="D72" s="7" t="s">
        <v>299</v>
      </c>
      <c r="E72" s="7" t="s">
        <v>300</v>
      </c>
      <c r="F72" s="7" t="s">
        <v>18</v>
      </c>
      <c r="G72" s="7">
        <v>0</v>
      </c>
      <c r="H72" s="7">
        <v>1</v>
      </c>
      <c r="I72" s="7">
        <v>0</v>
      </c>
      <c r="J72" s="7">
        <v>0</v>
      </c>
      <c r="K72" s="7">
        <v>0</v>
      </c>
      <c r="L72" s="7">
        <v>1</v>
      </c>
      <c r="M72" s="7">
        <v>0</v>
      </c>
      <c r="N72" s="7">
        <v>0</v>
      </c>
    </row>
    <row r="73" spans="1:14" ht="22">
      <c r="A73" s="7" t="s">
        <v>301</v>
      </c>
      <c r="B73" s="7" t="s">
        <v>302</v>
      </c>
      <c r="C73" s="7">
        <v>1</v>
      </c>
      <c r="D73" s="7" t="s">
        <v>303</v>
      </c>
      <c r="E73" s="7" t="s">
        <v>304</v>
      </c>
      <c r="F73" s="7" t="s">
        <v>18</v>
      </c>
      <c r="G73" s="7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</row>
    <row r="74" spans="1:14" ht="22">
      <c r="A74" s="7" t="s">
        <v>305</v>
      </c>
      <c r="B74" s="7" t="s">
        <v>306</v>
      </c>
      <c r="C74" s="7">
        <v>5</v>
      </c>
      <c r="D74" s="7" t="s">
        <v>307</v>
      </c>
      <c r="E74" s="7" t="s">
        <v>308</v>
      </c>
      <c r="F74" s="7" t="s">
        <v>23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</row>
    <row r="75" spans="1:14" ht="22">
      <c r="A75" s="7" t="s">
        <v>309</v>
      </c>
      <c r="B75" s="7" t="s">
        <v>310</v>
      </c>
      <c r="C75" s="7">
        <v>3</v>
      </c>
      <c r="D75" s="7" t="s">
        <v>311</v>
      </c>
      <c r="E75" s="7" t="s">
        <v>312</v>
      </c>
      <c r="F75" s="7" t="s">
        <v>169</v>
      </c>
      <c r="G75" s="7">
        <v>1</v>
      </c>
      <c r="H75" s="7">
        <v>0</v>
      </c>
      <c r="I75" s="7">
        <v>0</v>
      </c>
      <c r="J75" s="7">
        <v>1</v>
      </c>
      <c r="K75" s="7">
        <v>0</v>
      </c>
      <c r="L75" s="7">
        <v>0</v>
      </c>
      <c r="M75" s="7">
        <v>0</v>
      </c>
      <c r="N75" s="7">
        <v>0</v>
      </c>
    </row>
    <row r="76" spans="1:14" ht="22">
      <c r="A76" s="7" t="s">
        <v>313</v>
      </c>
      <c r="B76" s="7" t="s">
        <v>314</v>
      </c>
      <c r="C76" s="7">
        <v>1</v>
      </c>
      <c r="D76" s="7" t="s">
        <v>315</v>
      </c>
      <c r="E76" s="7" t="s">
        <v>316</v>
      </c>
      <c r="F76" s="7" t="s">
        <v>18</v>
      </c>
      <c r="G76" s="7">
        <v>1</v>
      </c>
      <c r="H76" s="7">
        <v>0</v>
      </c>
      <c r="I76" s="7">
        <v>0</v>
      </c>
      <c r="J76" s="7">
        <v>0</v>
      </c>
      <c r="K76" s="7">
        <v>0</v>
      </c>
      <c r="L76" s="7">
        <v>1</v>
      </c>
      <c r="M76" s="7">
        <v>0</v>
      </c>
      <c r="N76" s="7">
        <v>0</v>
      </c>
    </row>
    <row r="77" spans="1:14" ht="22">
      <c r="A77" s="7" t="s">
        <v>317</v>
      </c>
      <c r="B77" s="7" t="s">
        <v>318</v>
      </c>
      <c r="C77" s="7">
        <v>4</v>
      </c>
      <c r="D77" s="7" t="s">
        <v>319</v>
      </c>
      <c r="E77" s="7" t="s">
        <v>320</v>
      </c>
      <c r="F77" s="7" t="s">
        <v>23</v>
      </c>
      <c r="G77" s="7">
        <v>0</v>
      </c>
      <c r="H77" s="7">
        <v>0</v>
      </c>
      <c r="I77" s="7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</row>
    <row r="78" spans="1:14" ht="22">
      <c r="A78" s="7" t="s">
        <v>321</v>
      </c>
      <c r="B78" s="7" t="s">
        <v>322</v>
      </c>
      <c r="C78" s="7">
        <v>1</v>
      </c>
      <c r="D78" s="7" t="s">
        <v>323</v>
      </c>
      <c r="E78" s="7" t="s">
        <v>324</v>
      </c>
      <c r="F78" s="7" t="s">
        <v>18</v>
      </c>
      <c r="G78" s="7">
        <v>0</v>
      </c>
      <c r="H78" s="7">
        <v>0</v>
      </c>
      <c r="I78" s="7">
        <v>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</row>
    <row r="79" spans="1:14" ht="22">
      <c r="A79" s="7" t="s">
        <v>325</v>
      </c>
      <c r="B79" s="7" t="s">
        <v>326</v>
      </c>
      <c r="C79" s="7">
        <v>3</v>
      </c>
      <c r="D79" s="7" t="s">
        <v>327</v>
      </c>
      <c r="E79" s="7" t="s">
        <v>328</v>
      </c>
      <c r="F79" s="7" t="s">
        <v>18</v>
      </c>
      <c r="G79" s="7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</row>
    <row r="80" spans="1:14" ht="22">
      <c r="A80" s="7" t="s">
        <v>329</v>
      </c>
      <c r="B80" s="7" t="s">
        <v>330</v>
      </c>
      <c r="C80" s="7">
        <v>2</v>
      </c>
      <c r="D80" s="7" t="s">
        <v>331</v>
      </c>
      <c r="E80" s="7" t="s">
        <v>332</v>
      </c>
      <c r="F80" s="7" t="s">
        <v>18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1</v>
      </c>
    </row>
    <row r="81" spans="1:14" ht="22">
      <c r="A81" s="7" t="s">
        <v>333</v>
      </c>
      <c r="B81" s="7" t="s">
        <v>334</v>
      </c>
      <c r="C81" s="7">
        <v>2</v>
      </c>
      <c r="D81" s="7" t="s">
        <v>335</v>
      </c>
      <c r="E81" s="7" t="s">
        <v>336</v>
      </c>
      <c r="F81" s="7" t="s">
        <v>18</v>
      </c>
      <c r="G81" s="7">
        <v>0</v>
      </c>
      <c r="H81" s="7">
        <v>0</v>
      </c>
      <c r="I81" s="7">
        <v>1</v>
      </c>
      <c r="J81" s="7">
        <v>0</v>
      </c>
      <c r="K81" s="7">
        <v>1</v>
      </c>
      <c r="L81" s="7">
        <v>1</v>
      </c>
      <c r="M81" s="7">
        <v>0</v>
      </c>
      <c r="N81" s="7">
        <v>0</v>
      </c>
    </row>
    <row r="82" spans="1:14" ht="22">
      <c r="A82" s="7" t="s">
        <v>337</v>
      </c>
      <c r="B82" s="7" t="s">
        <v>338</v>
      </c>
      <c r="C82" s="7">
        <v>3</v>
      </c>
      <c r="D82" s="7" t="s">
        <v>339</v>
      </c>
      <c r="E82" s="7" t="s">
        <v>340</v>
      </c>
      <c r="F82" s="7" t="s">
        <v>23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</row>
    <row r="83" spans="1:14" ht="22">
      <c r="A83" s="7" t="s">
        <v>341</v>
      </c>
      <c r="B83" s="7" t="s">
        <v>342</v>
      </c>
      <c r="C83" s="7">
        <v>2</v>
      </c>
      <c r="D83" s="7" t="s">
        <v>343</v>
      </c>
      <c r="E83" s="7" t="s">
        <v>344</v>
      </c>
      <c r="F83" s="7" t="s">
        <v>18</v>
      </c>
      <c r="G83" s="7">
        <v>0</v>
      </c>
      <c r="H83" s="7">
        <v>1</v>
      </c>
      <c r="I83" s="7">
        <v>1</v>
      </c>
      <c r="J83" s="7">
        <v>1</v>
      </c>
      <c r="K83" s="7">
        <v>0</v>
      </c>
      <c r="L83" s="7">
        <v>1</v>
      </c>
      <c r="M83" s="7">
        <v>0</v>
      </c>
      <c r="N83" s="7">
        <v>0</v>
      </c>
    </row>
    <row r="84" spans="1:14" ht="22">
      <c r="A84" s="7" t="s">
        <v>345</v>
      </c>
      <c r="B84" s="7" t="s">
        <v>346</v>
      </c>
      <c r="C84" s="7">
        <v>1</v>
      </c>
      <c r="D84" s="7" t="s">
        <v>347</v>
      </c>
      <c r="E84" s="7" t="s">
        <v>348</v>
      </c>
      <c r="F84" s="7" t="s">
        <v>52</v>
      </c>
      <c r="G84" s="7">
        <v>1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</row>
    <row r="85" spans="1:14" ht="22">
      <c r="A85" s="7" t="s">
        <v>349</v>
      </c>
      <c r="B85" s="7" t="s">
        <v>350</v>
      </c>
      <c r="C85" s="7">
        <v>5</v>
      </c>
      <c r="D85" s="7" t="s">
        <v>351</v>
      </c>
      <c r="E85" s="7" t="s">
        <v>352</v>
      </c>
      <c r="F85" s="7" t="s">
        <v>23</v>
      </c>
      <c r="G85" s="7">
        <v>1</v>
      </c>
      <c r="H85" s="7">
        <v>0</v>
      </c>
      <c r="I85" s="7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</row>
    <row r="86" spans="1:14" ht="22">
      <c r="A86" s="7" t="s">
        <v>353</v>
      </c>
      <c r="B86" s="7" t="s">
        <v>354</v>
      </c>
      <c r="C86" s="7">
        <v>5</v>
      </c>
      <c r="D86" s="7" t="s">
        <v>355</v>
      </c>
      <c r="E86" s="7" t="s">
        <v>356</v>
      </c>
      <c r="F86" s="7" t="s">
        <v>23</v>
      </c>
      <c r="G86" s="7">
        <v>1</v>
      </c>
      <c r="H86" s="7">
        <v>0</v>
      </c>
      <c r="I86" s="7">
        <v>1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</row>
    <row r="87" spans="1:14" ht="22">
      <c r="A87" s="7" t="s">
        <v>357</v>
      </c>
      <c r="B87" s="7" t="s">
        <v>358</v>
      </c>
      <c r="C87" s="7">
        <v>4</v>
      </c>
      <c r="D87" s="7" t="s">
        <v>359</v>
      </c>
      <c r="E87" s="7" t="s">
        <v>360</v>
      </c>
      <c r="F87" s="7" t="s">
        <v>23</v>
      </c>
      <c r="G87" s="7">
        <v>0</v>
      </c>
      <c r="H87" s="7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</row>
    <row r="88" spans="1:14" ht="22">
      <c r="A88" s="7" t="s">
        <v>361</v>
      </c>
      <c r="B88" s="7" t="s">
        <v>362</v>
      </c>
      <c r="C88" s="7">
        <v>1</v>
      </c>
      <c r="D88" s="7" t="s">
        <v>363</v>
      </c>
      <c r="E88" s="7" t="s">
        <v>364</v>
      </c>
      <c r="F88" s="7" t="s">
        <v>18</v>
      </c>
      <c r="G88" s="7">
        <v>0</v>
      </c>
      <c r="H88" s="7">
        <v>1</v>
      </c>
      <c r="I88" s="7">
        <v>0</v>
      </c>
      <c r="J88" s="7">
        <v>1</v>
      </c>
      <c r="K88" s="7">
        <v>0</v>
      </c>
      <c r="L88" s="7">
        <v>1</v>
      </c>
      <c r="M88" s="7">
        <v>0</v>
      </c>
      <c r="N88" s="7">
        <v>0</v>
      </c>
    </row>
    <row r="89" spans="1:14" ht="22">
      <c r="A89" s="7" t="s">
        <v>365</v>
      </c>
      <c r="B89" s="7" t="s">
        <v>366</v>
      </c>
      <c r="C89" s="7">
        <v>3</v>
      </c>
      <c r="D89" s="7" t="s">
        <v>367</v>
      </c>
      <c r="E89" s="7" t="s">
        <v>368</v>
      </c>
      <c r="F89" s="7" t="s">
        <v>169</v>
      </c>
      <c r="G89" s="7">
        <v>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</row>
    <row r="90" spans="1:14" ht="22">
      <c r="A90" s="7" t="s">
        <v>369</v>
      </c>
      <c r="B90" s="7" t="s">
        <v>370</v>
      </c>
      <c r="C90" s="7">
        <v>5</v>
      </c>
      <c r="D90" s="7" t="s">
        <v>371</v>
      </c>
      <c r="E90" s="7" t="s">
        <v>372</v>
      </c>
      <c r="F90" s="7" t="s">
        <v>23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</row>
    <row r="91" spans="1:14" ht="22">
      <c r="A91" s="7" t="s">
        <v>373</v>
      </c>
      <c r="B91" s="7" t="s">
        <v>374</v>
      </c>
      <c r="C91" s="7">
        <v>3</v>
      </c>
      <c r="D91" s="7" t="s">
        <v>375</v>
      </c>
      <c r="E91" s="7" t="s">
        <v>376</v>
      </c>
      <c r="F91" s="7" t="s">
        <v>18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</row>
    <row r="92" spans="1:14" ht="22">
      <c r="A92" s="7" t="s">
        <v>377</v>
      </c>
      <c r="B92" s="7" t="s">
        <v>378</v>
      </c>
      <c r="C92" s="7">
        <v>2</v>
      </c>
      <c r="D92" s="7" t="s">
        <v>379</v>
      </c>
      <c r="E92" s="7" t="s">
        <v>380</v>
      </c>
      <c r="F92" s="7" t="s">
        <v>18</v>
      </c>
      <c r="G92" s="7">
        <v>0</v>
      </c>
      <c r="H92" s="7">
        <v>1</v>
      </c>
      <c r="I92" s="7">
        <v>0</v>
      </c>
      <c r="J92" s="7">
        <v>1</v>
      </c>
      <c r="K92" s="7">
        <v>0</v>
      </c>
      <c r="L92" s="7">
        <v>0</v>
      </c>
      <c r="M92" s="7">
        <v>0</v>
      </c>
      <c r="N92" s="7">
        <v>0</v>
      </c>
    </row>
    <row r="93" spans="1:14" ht="22">
      <c r="A93" s="7" t="s">
        <v>381</v>
      </c>
      <c r="B93" s="7" t="s">
        <v>382</v>
      </c>
      <c r="C93" s="7">
        <v>2</v>
      </c>
      <c r="D93" s="7" t="s">
        <v>383</v>
      </c>
      <c r="E93" s="7" t="s">
        <v>384</v>
      </c>
      <c r="F93" s="7" t="s">
        <v>18</v>
      </c>
      <c r="G93" s="7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</row>
    <row r="94" spans="1:14" ht="22">
      <c r="A94" s="7" t="s">
        <v>385</v>
      </c>
      <c r="B94" s="7" t="s">
        <v>386</v>
      </c>
      <c r="C94" s="7">
        <v>4</v>
      </c>
      <c r="D94" s="7" t="s">
        <v>387</v>
      </c>
      <c r="E94" s="7" t="s">
        <v>388</v>
      </c>
      <c r="F94" s="7" t="s">
        <v>23</v>
      </c>
      <c r="G94" s="7">
        <v>1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</row>
    <row r="95" spans="1:14" ht="22">
      <c r="A95" s="7" t="s">
        <v>389</v>
      </c>
      <c r="B95" s="7" t="s">
        <v>390</v>
      </c>
      <c r="C95" s="7">
        <v>2</v>
      </c>
      <c r="D95" s="7" t="s">
        <v>391</v>
      </c>
      <c r="E95" s="7" t="s">
        <v>392</v>
      </c>
      <c r="F95" s="7" t="s">
        <v>18</v>
      </c>
      <c r="G95" s="7">
        <v>0</v>
      </c>
      <c r="H95" s="7">
        <v>0</v>
      </c>
      <c r="I95" s="7">
        <v>0</v>
      </c>
      <c r="J95" s="7">
        <v>1</v>
      </c>
      <c r="K95" s="7">
        <v>0</v>
      </c>
      <c r="L95" s="7">
        <v>0</v>
      </c>
      <c r="M95" s="7">
        <v>0</v>
      </c>
      <c r="N95" s="7">
        <v>0</v>
      </c>
    </row>
    <row r="96" spans="1:14" ht="22">
      <c r="A96" s="7" t="s">
        <v>393</v>
      </c>
      <c r="B96" s="7" t="s">
        <v>394</v>
      </c>
      <c r="C96" s="7">
        <v>2</v>
      </c>
      <c r="D96" s="7" t="s">
        <v>395</v>
      </c>
      <c r="E96" s="7" t="s">
        <v>396</v>
      </c>
      <c r="F96" s="7" t="s">
        <v>18</v>
      </c>
      <c r="G96" s="7">
        <v>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</row>
    <row r="97" spans="1:14" ht="22">
      <c r="A97" s="7" t="s">
        <v>397</v>
      </c>
      <c r="B97" s="7" t="s">
        <v>398</v>
      </c>
      <c r="C97" s="7">
        <v>1</v>
      </c>
      <c r="D97" s="7" t="s">
        <v>399</v>
      </c>
      <c r="E97" s="7" t="s">
        <v>400</v>
      </c>
      <c r="F97" s="7" t="s">
        <v>52</v>
      </c>
      <c r="G97" s="7">
        <v>1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</row>
    <row r="98" spans="1:14" ht="22">
      <c r="A98" s="7" t="s">
        <v>401</v>
      </c>
      <c r="B98" s="7" t="s">
        <v>402</v>
      </c>
      <c r="C98" s="7">
        <v>4</v>
      </c>
      <c r="D98" s="7" t="s">
        <v>403</v>
      </c>
      <c r="E98" s="7" t="s">
        <v>404</v>
      </c>
      <c r="F98" s="7" t="s">
        <v>23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</row>
    <row r="99" spans="1:14" ht="22">
      <c r="A99" s="7" t="s">
        <v>405</v>
      </c>
      <c r="B99" s="7" t="s">
        <v>406</v>
      </c>
      <c r="C99" s="7">
        <v>3</v>
      </c>
      <c r="D99" s="7" t="s">
        <v>143</v>
      </c>
      <c r="E99" s="7" t="s">
        <v>407</v>
      </c>
      <c r="F99" s="7" t="s">
        <v>23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</row>
    <row r="100" spans="1:14" ht="22">
      <c r="A100" s="7" t="s">
        <v>408</v>
      </c>
      <c r="B100" s="7" t="s">
        <v>409</v>
      </c>
      <c r="C100" s="7">
        <v>4</v>
      </c>
      <c r="D100" s="7" t="s">
        <v>410</v>
      </c>
      <c r="E100" s="7" t="s">
        <v>411</v>
      </c>
      <c r="F100" s="7" t="s">
        <v>169</v>
      </c>
      <c r="G100" s="7">
        <v>1</v>
      </c>
      <c r="H100" s="7">
        <v>1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</row>
    <row r="101" spans="1:14" ht="22">
      <c r="A101" s="7" t="s">
        <v>412</v>
      </c>
      <c r="B101" s="7" t="s">
        <v>413</v>
      </c>
      <c r="C101" s="7">
        <v>4</v>
      </c>
      <c r="D101" s="7" t="s">
        <v>414</v>
      </c>
      <c r="E101" s="7" t="s">
        <v>415</v>
      </c>
      <c r="F101" s="7" t="s">
        <v>52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opLeftCell="B1" zoomScaleNormal="100" workbookViewId="0">
      <pane ySplit="1" topLeftCell="A84" activePane="bottomLeft" state="frozen"/>
      <selection pane="bottomLeft" activeCell="G90" sqref="G90"/>
    </sheetView>
  </sheetViews>
  <sheetFormatPr baseColWidth="10" defaultColWidth="10.83203125" defaultRowHeight="22"/>
  <cols>
    <col min="1" max="1" width="11.6640625" style="1" customWidth="1"/>
    <col min="2" max="2" width="10.33203125" style="1" customWidth="1"/>
    <col min="3" max="3" width="16.1640625" style="1" customWidth="1"/>
    <col min="4" max="4" width="21.1640625" style="1" customWidth="1"/>
    <col min="5" max="5" width="74.1640625" style="2" customWidth="1"/>
    <col min="6" max="6" width="23.5" style="3" customWidth="1"/>
    <col min="7" max="7" width="26.5" style="3" customWidth="1"/>
    <col min="8" max="8" width="25.6640625" style="3" customWidth="1"/>
    <col min="9" max="9" width="29.6640625" style="3" customWidth="1"/>
    <col min="10" max="10" width="35.83203125" style="3" customWidth="1"/>
    <col min="11" max="11" width="37.33203125" style="3" customWidth="1"/>
    <col min="12" max="12" width="31.33203125" style="3" customWidth="1"/>
    <col min="13" max="13" width="32" style="3" customWidth="1"/>
    <col min="14" max="14" width="25.33203125" style="3" customWidth="1"/>
    <col min="15" max="16384" width="10.832031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416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7" t="s">
        <v>14</v>
      </c>
      <c r="B2" s="7" t="s">
        <v>15</v>
      </c>
      <c r="C2" s="7">
        <v>1</v>
      </c>
      <c r="D2" s="7" t="s">
        <v>16</v>
      </c>
      <c r="E2" s="7" t="s">
        <v>17</v>
      </c>
      <c r="F2" s="3" t="s">
        <v>18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</row>
    <row r="3" spans="1:14">
      <c r="A3" s="7" t="s">
        <v>19</v>
      </c>
      <c r="B3" s="7" t="s">
        <v>20</v>
      </c>
      <c r="C3" s="7">
        <v>4</v>
      </c>
      <c r="D3" s="7" t="s">
        <v>21</v>
      </c>
      <c r="E3" s="7" t="s">
        <v>22</v>
      </c>
      <c r="F3" s="3" t="s">
        <v>23</v>
      </c>
      <c r="G3" s="3">
        <v>1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</row>
    <row r="4" spans="1:14">
      <c r="A4" s="7" t="s">
        <v>24</v>
      </c>
      <c r="B4" s="7" t="s">
        <v>25</v>
      </c>
      <c r="C4" s="7">
        <v>3</v>
      </c>
      <c r="D4" s="7" t="s">
        <v>26</v>
      </c>
      <c r="E4" s="7" t="s">
        <v>27</v>
      </c>
      <c r="F4" s="3" t="s">
        <v>18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</row>
    <row r="5" spans="1:14">
      <c r="A5" s="7" t="s">
        <v>28</v>
      </c>
      <c r="B5" s="7" t="s">
        <v>29</v>
      </c>
      <c r="C5" s="7">
        <v>4</v>
      </c>
      <c r="D5" s="7" t="s">
        <v>30</v>
      </c>
      <c r="E5" s="7" t="s">
        <v>31</v>
      </c>
      <c r="F5" s="3" t="s">
        <v>23</v>
      </c>
      <c r="G5" s="3">
        <v>0</v>
      </c>
      <c r="H5" s="3">
        <v>0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0</v>
      </c>
    </row>
    <row r="6" spans="1:14">
      <c r="A6" s="7" t="s">
        <v>32</v>
      </c>
      <c r="B6" s="7" t="s">
        <v>33</v>
      </c>
      <c r="C6" s="7">
        <v>4</v>
      </c>
      <c r="D6" s="7" t="s">
        <v>34</v>
      </c>
      <c r="E6" s="7" t="s">
        <v>35</v>
      </c>
      <c r="F6" s="3" t="s">
        <v>23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>
      <c r="A7" s="7" t="s">
        <v>36</v>
      </c>
      <c r="B7" s="7" t="s">
        <v>37</v>
      </c>
      <c r="C7" s="7">
        <v>2</v>
      </c>
      <c r="D7" s="7" t="s">
        <v>38</v>
      </c>
      <c r="E7" s="7" t="s">
        <v>39</v>
      </c>
      <c r="F7" s="37" t="s">
        <v>451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>
      <c r="A8" s="7" t="s">
        <v>40</v>
      </c>
      <c r="B8" s="7" t="s">
        <v>41</v>
      </c>
      <c r="C8" s="7">
        <v>2</v>
      </c>
      <c r="D8" s="7" t="s">
        <v>42</v>
      </c>
      <c r="E8" s="7" t="s">
        <v>43</v>
      </c>
      <c r="F8" s="3" t="s">
        <v>18</v>
      </c>
      <c r="G8" s="3">
        <v>1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>
      <c r="A9" s="7" t="s">
        <v>44</v>
      </c>
      <c r="B9" s="7" t="s">
        <v>45</v>
      </c>
      <c r="C9" s="7">
        <v>1</v>
      </c>
      <c r="D9" s="7" t="s">
        <v>46</v>
      </c>
      <c r="E9" s="7" t="s">
        <v>47</v>
      </c>
      <c r="F9" s="3" t="s">
        <v>18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1</v>
      </c>
    </row>
    <row r="10" spans="1:14">
      <c r="A10" s="7" t="s">
        <v>48</v>
      </c>
      <c r="B10" s="7" t="s">
        <v>49</v>
      </c>
      <c r="C10" s="7">
        <v>4</v>
      </c>
      <c r="D10" s="7" t="s">
        <v>50</v>
      </c>
      <c r="E10" s="7" t="s">
        <v>51</v>
      </c>
      <c r="F10" s="3" t="s">
        <v>23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>
      <c r="A11" s="7" t="s">
        <v>53</v>
      </c>
      <c r="B11" s="7" t="s">
        <v>54</v>
      </c>
      <c r="C11" s="7">
        <v>3</v>
      </c>
      <c r="D11" s="7" t="s">
        <v>55</v>
      </c>
      <c r="E11" s="7" t="s">
        <v>56</v>
      </c>
      <c r="F11" s="3" t="s">
        <v>52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>
      <c r="A12" s="7" t="s">
        <v>57</v>
      </c>
      <c r="B12" s="7" t="s">
        <v>58</v>
      </c>
      <c r="C12" s="7">
        <v>1</v>
      </c>
      <c r="D12" s="7" t="s">
        <v>59</v>
      </c>
      <c r="E12" s="7" t="s">
        <v>60</v>
      </c>
      <c r="F12" s="3" t="s">
        <v>18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>
      <c r="A13" s="7" t="s">
        <v>61</v>
      </c>
      <c r="B13" s="7" t="s">
        <v>62</v>
      </c>
      <c r="C13" s="7">
        <v>5</v>
      </c>
      <c r="D13" s="7" t="s">
        <v>63</v>
      </c>
      <c r="E13" s="7" t="s">
        <v>64</v>
      </c>
      <c r="F13" s="3" t="s">
        <v>23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>
      <c r="A14" s="7" t="s">
        <v>65</v>
      </c>
      <c r="B14" s="7" t="s">
        <v>66</v>
      </c>
      <c r="C14" s="7">
        <v>3</v>
      </c>
      <c r="D14" s="7" t="s">
        <v>67</v>
      </c>
      <c r="E14" s="7" t="s">
        <v>68</v>
      </c>
      <c r="F14" s="3" t="s">
        <v>18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</row>
    <row r="15" spans="1:14">
      <c r="A15" s="7" t="s">
        <v>69</v>
      </c>
      <c r="B15" s="7" t="s">
        <v>70</v>
      </c>
      <c r="C15" s="7">
        <v>4</v>
      </c>
      <c r="D15" s="7" t="s">
        <v>71</v>
      </c>
      <c r="E15" s="7" t="s">
        <v>72</v>
      </c>
      <c r="F15" s="3" t="s">
        <v>23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>
      <c r="A16" s="7" t="s">
        <v>73</v>
      </c>
      <c r="B16" s="7" t="s">
        <v>74</v>
      </c>
      <c r="C16" s="7">
        <v>1</v>
      </c>
      <c r="D16" s="7" t="s">
        <v>75</v>
      </c>
      <c r="E16" s="7" t="s">
        <v>76</v>
      </c>
      <c r="F16" s="3" t="s">
        <v>18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1</v>
      </c>
      <c r="N16" s="3">
        <v>0</v>
      </c>
    </row>
    <row r="17" spans="1:14">
      <c r="A17" s="7" t="s">
        <v>77</v>
      </c>
      <c r="B17" s="7" t="s">
        <v>78</v>
      </c>
      <c r="C17" s="7">
        <v>3</v>
      </c>
      <c r="D17" s="7" t="s">
        <v>79</v>
      </c>
      <c r="E17" s="7" t="s">
        <v>80</v>
      </c>
      <c r="F17" s="3" t="s">
        <v>18</v>
      </c>
      <c r="G17" s="3">
        <v>0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>
      <c r="A18" s="7" t="s">
        <v>81</v>
      </c>
      <c r="B18" s="7" t="s">
        <v>82</v>
      </c>
      <c r="C18" s="7">
        <v>1</v>
      </c>
      <c r="D18" s="7" t="s">
        <v>83</v>
      </c>
      <c r="E18" s="7" t="s">
        <v>84</v>
      </c>
      <c r="F18" s="3" t="s">
        <v>18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</row>
    <row r="19" spans="1:14">
      <c r="A19" s="7" t="s">
        <v>85</v>
      </c>
      <c r="B19" s="7" t="s">
        <v>86</v>
      </c>
      <c r="C19" s="7">
        <v>2</v>
      </c>
      <c r="D19" s="7" t="s">
        <v>87</v>
      </c>
      <c r="E19" s="7" t="s">
        <v>88</v>
      </c>
      <c r="F19" s="3" t="s">
        <v>169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>
      <c r="A20" s="7" t="s">
        <v>89</v>
      </c>
      <c r="B20" s="7" t="s">
        <v>90</v>
      </c>
      <c r="C20" s="7">
        <v>5</v>
      </c>
      <c r="D20" s="7" t="s">
        <v>91</v>
      </c>
      <c r="E20" s="7" t="s">
        <v>92</v>
      </c>
      <c r="F20" s="3" t="s">
        <v>23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>
      <c r="A21" s="7" t="s">
        <v>93</v>
      </c>
      <c r="B21" s="7" t="s">
        <v>94</v>
      </c>
      <c r="C21" s="7">
        <v>5</v>
      </c>
      <c r="D21" s="7" t="s">
        <v>95</v>
      </c>
      <c r="E21" s="7" t="s">
        <v>96</v>
      </c>
      <c r="F21" s="3" t="s">
        <v>23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>
      <c r="A22" s="7" t="s">
        <v>97</v>
      </c>
      <c r="B22" s="7" t="s">
        <v>98</v>
      </c>
      <c r="C22" s="7">
        <v>1</v>
      </c>
      <c r="D22" s="7" t="s">
        <v>99</v>
      </c>
      <c r="E22" s="7" t="s">
        <v>100</v>
      </c>
      <c r="F22" s="3" t="s">
        <v>18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1:14">
      <c r="A23" s="7" t="s">
        <v>101</v>
      </c>
      <c r="B23" s="7" t="s">
        <v>102</v>
      </c>
      <c r="C23" s="7">
        <v>5</v>
      </c>
      <c r="D23" s="7" t="s">
        <v>103</v>
      </c>
      <c r="E23" s="7" t="s">
        <v>104</v>
      </c>
      <c r="F23" s="3" t="s">
        <v>23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>
      <c r="A24" s="7" t="s">
        <v>105</v>
      </c>
      <c r="B24" s="7" t="s">
        <v>106</v>
      </c>
      <c r="C24" s="7">
        <v>1</v>
      </c>
      <c r="D24" s="7" t="s">
        <v>107</v>
      </c>
      <c r="E24" s="7" t="s">
        <v>108</v>
      </c>
      <c r="F24" s="3" t="s">
        <v>18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0</v>
      </c>
    </row>
    <row r="25" spans="1:14">
      <c r="A25" s="7" t="s">
        <v>109</v>
      </c>
      <c r="B25" s="7" t="s">
        <v>110</v>
      </c>
      <c r="C25" s="7">
        <v>4</v>
      </c>
      <c r="D25" s="7" t="s">
        <v>111</v>
      </c>
      <c r="E25" s="7" t="s">
        <v>112</v>
      </c>
      <c r="F25" s="3" t="s">
        <v>18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>
      <c r="A26" s="7" t="s">
        <v>113</v>
      </c>
      <c r="B26" s="7" t="s">
        <v>114</v>
      </c>
      <c r="C26" s="7">
        <v>4</v>
      </c>
      <c r="D26" s="7" t="s">
        <v>115</v>
      </c>
      <c r="E26" s="7" t="s">
        <v>116</v>
      </c>
      <c r="F26" s="3" t="s">
        <v>23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1:14">
      <c r="A27" s="7" t="s">
        <v>117</v>
      </c>
      <c r="B27" s="7" t="s">
        <v>118</v>
      </c>
      <c r="C27" s="7">
        <v>3</v>
      </c>
      <c r="D27" s="7" t="s">
        <v>119</v>
      </c>
      <c r="E27" s="7" t="s">
        <v>120</v>
      </c>
      <c r="F27" s="3" t="s">
        <v>18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>
      <c r="A28" s="7" t="s">
        <v>121</v>
      </c>
      <c r="B28" s="7" t="s">
        <v>122</v>
      </c>
      <c r="C28" s="7">
        <v>2</v>
      </c>
      <c r="D28" s="7" t="s">
        <v>123</v>
      </c>
      <c r="E28" s="7" t="s">
        <v>124</v>
      </c>
      <c r="F28" s="3" t="s">
        <v>18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1:14">
      <c r="A29" s="7" t="s">
        <v>125</v>
      </c>
      <c r="B29" s="7" t="s">
        <v>126</v>
      </c>
      <c r="C29" s="7">
        <v>5</v>
      </c>
      <c r="D29" s="7" t="s">
        <v>127</v>
      </c>
      <c r="E29" s="7" t="s">
        <v>128</v>
      </c>
      <c r="F29" s="3" t="s">
        <v>23</v>
      </c>
      <c r="G29" s="3">
        <v>1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>
      <c r="A30" s="7" t="s">
        <v>129</v>
      </c>
      <c r="B30" s="7" t="s">
        <v>130</v>
      </c>
      <c r="C30" s="7">
        <v>2</v>
      </c>
      <c r="D30" s="7" t="s">
        <v>131</v>
      </c>
      <c r="E30" s="7" t="s">
        <v>132</v>
      </c>
      <c r="F30" s="3" t="s">
        <v>18</v>
      </c>
      <c r="G30" s="3">
        <v>0</v>
      </c>
      <c r="H30" s="3">
        <v>0</v>
      </c>
      <c r="I30" s="3">
        <v>0</v>
      </c>
      <c r="J30" s="3">
        <v>0</v>
      </c>
      <c r="K30" s="3">
        <v>1</v>
      </c>
      <c r="L30" s="3">
        <v>0</v>
      </c>
      <c r="M30" s="3">
        <v>0</v>
      </c>
      <c r="N30" s="3">
        <v>0</v>
      </c>
    </row>
    <row r="31" spans="1:14">
      <c r="A31" s="7" t="s">
        <v>133</v>
      </c>
      <c r="B31" s="7" t="s">
        <v>134</v>
      </c>
      <c r="C31" s="7">
        <v>2</v>
      </c>
      <c r="D31" s="7" t="s">
        <v>135</v>
      </c>
      <c r="E31" s="7" t="s">
        <v>136</v>
      </c>
      <c r="F31" s="3" t="s">
        <v>18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>
      <c r="A32" s="7" t="s">
        <v>137</v>
      </c>
      <c r="B32" s="7" t="s">
        <v>138</v>
      </c>
      <c r="C32" s="7">
        <v>5</v>
      </c>
      <c r="D32" s="7" t="s">
        <v>139</v>
      </c>
      <c r="E32" s="7" t="s">
        <v>140</v>
      </c>
      <c r="F32" s="3" t="s">
        <v>23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>
      <c r="A33" s="7" t="s">
        <v>141</v>
      </c>
      <c r="B33" s="7" t="s">
        <v>142</v>
      </c>
      <c r="C33" s="7">
        <v>5</v>
      </c>
      <c r="D33" s="7" t="s">
        <v>143</v>
      </c>
      <c r="E33" s="7" t="s">
        <v>144</v>
      </c>
      <c r="F33" s="3" t="s">
        <v>23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s="7" t="s">
        <v>145</v>
      </c>
      <c r="B34" s="7" t="s">
        <v>146</v>
      </c>
      <c r="C34" s="7">
        <v>1</v>
      </c>
      <c r="D34" s="7" t="s">
        <v>147</v>
      </c>
      <c r="E34" s="7" t="s">
        <v>148</v>
      </c>
      <c r="F34" s="3" t="s">
        <v>18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1:14">
      <c r="A35" s="7" t="s">
        <v>149</v>
      </c>
      <c r="B35" s="7" t="s">
        <v>150</v>
      </c>
      <c r="C35" s="7">
        <v>5</v>
      </c>
      <c r="D35" s="7" t="s">
        <v>151</v>
      </c>
      <c r="E35" s="7" t="s">
        <v>152</v>
      </c>
      <c r="F35" s="3" t="s">
        <v>23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>
      <c r="A36" s="7" t="s">
        <v>153</v>
      </c>
      <c r="B36" s="7" t="s">
        <v>154</v>
      </c>
      <c r="C36" s="7">
        <v>5</v>
      </c>
      <c r="D36" s="7" t="s">
        <v>155</v>
      </c>
      <c r="E36" s="7" t="s">
        <v>156</v>
      </c>
      <c r="F36" s="3" t="s">
        <v>23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>
      <c r="A37" s="7" t="s">
        <v>157</v>
      </c>
      <c r="B37" s="7" t="s">
        <v>158</v>
      </c>
      <c r="C37" s="7">
        <v>4</v>
      </c>
      <c r="D37" s="7" t="s">
        <v>159</v>
      </c>
      <c r="E37" s="7" t="s">
        <v>160</v>
      </c>
      <c r="F37" s="3" t="s">
        <v>23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</row>
    <row r="38" spans="1:14">
      <c r="A38" s="7" t="s">
        <v>161</v>
      </c>
      <c r="B38" s="7" t="s">
        <v>162</v>
      </c>
      <c r="C38" s="7">
        <v>4</v>
      </c>
      <c r="D38" s="7" t="s">
        <v>163</v>
      </c>
      <c r="E38" s="7" t="s">
        <v>164</v>
      </c>
      <c r="F38" s="3" t="s">
        <v>18</v>
      </c>
      <c r="G38" s="3">
        <v>0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</row>
    <row r="39" spans="1:14">
      <c r="A39" s="7" t="s">
        <v>165</v>
      </c>
      <c r="B39" s="7" t="s">
        <v>166</v>
      </c>
      <c r="C39" s="7">
        <v>4</v>
      </c>
      <c r="D39" s="7" t="s">
        <v>167</v>
      </c>
      <c r="E39" s="7" t="s">
        <v>168</v>
      </c>
      <c r="F39" s="3" t="s">
        <v>169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>
      <c r="A40" s="7" t="s">
        <v>170</v>
      </c>
      <c r="B40" s="7" t="s">
        <v>171</v>
      </c>
      <c r="C40" s="7">
        <v>5</v>
      </c>
      <c r="D40" s="7" t="s">
        <v>172</v>
      </c>
      <c r="E40" s="7" t="s">
        <v>173</v>
      </c>
      <c r="F40" s="3" t="s">
        <v>23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</row>
    <row r="41" spans="1:14">
      <c r="A41" s="7" t="s">
        <v>174</v>
      </c>
      <c r="B41" s="7" t="s">
        <v>175</v>
      </c>
      <c r="C41" s="7">
        <v>5</v>
      </c>
      <c r="D41" s="7" t="s">
        <v>176</v>
      </c>
      <c r="E41" s="7" t="s">
        <v>177</v>
      </c>
      <c r="F41" s="3" t="s">
        <v>23</v>
      </c>
      <c r="G41" s="3">
        <v>1</v>
      </c>
      <c r="H41" s="3">
        <v>0</v>
      </c>
      <c r="I41" s="3">
        <v>0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</row>
    <row r="42" spans="1:14">
      <c r="A42" s="7" t="s">
        <v>178</v>
      </c>
      <c r="B42" s="7" t="s">
        <v>179</v>
      </c>
      <c r="C42" s="7">
        <v>5</v>
      </c>
      <c r="D42" s="7" t="s">
        <v>180</v>
      </c>
      <c r="E42" s="7" t="s">
        <v>180</v>
      </c>
      <c r="F42" s="3" t="s">
        <v>52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>
      <c r="A43" s="7" t="s">
        <v>181</v>
      </c>
      <c r="B43" s="7" t="s">
        <v>182</v>
      </c>
      <c r="C43" s="7">
        <v>3</v>
      </c>
      <c r="D43" s="7" t="s">
        <v>183</v>
      </c>
      <c r="E43" s="7" t="s">
        <v>184</v>
      </c>
      <c r="F43" s="3" t="s">
        <v>18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>
      <c r="A44" s="7" t="s">
        <v>185</v>
      </c>
      <c r="B44" s="7" t="s">
        <v>186</v>
      </c>
      <c r="C44" s="7">
        <v>3</v>
      </c>
      <c r="D44" s="7" t="s">
        <v>187</v>
      </c>
      <c r="E44" s="7" t="s">
        <v>188</v>
      </c>
      <c r="F44" s="3" t="s">
        <v>23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1</v>
      </c>
      <c r="N44" s="3">
        <v>0</v>
      </c>
    </row>
    <row r="45" spans="1:14">
      <c r="A45" s="7" t="s">
        <v>189</v>
      </c>
      <c r="B45" s="7" t="s">
        <v>190</v>
      </c>
      <c r="C45" s="7">
        <v>3</v>
      </c>
      <c r="D45" s="7" t="s">
        <v>191</v>
      </c>
      <c r="E45" s="7" t="s">
        <v>192</v>
      </c>
      <c r="F45" s="3" t="s">
        <v>23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</row>
    <row r="46" spans="1:14">
      <c r="A46" s="7" t="s">
        <v>193</v>
      </c>
      <c r="B46" s="7" t="s">
        <v>194</v>
      </c>
      <c r="C46" s="7">
        <v>3</v>
      </c>
      <c r="D46" s="7" t="s">
        <v>195</v>
      </c>
      <c r="E46" s="7" t="s">
        <v>196</v>
      </c>
      <c r="F46" s="3" t="s">
        <v>18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>
      <c r="A47" s="7" t="s">
        <v>197</v>
      </c>
      <c r="B47" s="7" t="s">
        <v>198</v>
      </c>
      <c r="C47" s="7">
        <v>1</v>
      </c>
      <c r="D47" s="7" t="s">
        <v>199</v>
      </c>
      <c r="E47" s="7" t="s">
        <v>200</v>
      </c>
      <c r="F47" s="3" t="s">
        <v>18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>
      <c r="A48" s="7" t="s">
        <v>201</v>
      </c>
      <c r="B48" s="7" t="s">
        <v>202</v>
      </c>
      <c r="C48" s="7">
        <v>5</v>
      </c>
      <c r="D48" s="7" t="s">
        <v>203</v>
      </c>
      <c r="E48" s="7" t="s">
        <v>204</v>
      </c>
      <c r="F48" s="3" t="s">
        <v>23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1:14">
      <c r="A49" s="7" t="s">
        <v>205</v>
      </c>
      <c r="B49" s="7" t="s">
        <v>206</v>
      </c>
      <c r="C49" s="7">
        <v>1</v>
      </c>
      <c r="D49" s="7" t="s">
        <v>207</v>
      </c>
      <c r="E49" s="7" t="s">
        <v>208</v>
      </c>
      <c r="F49" s="3" t="s">
        <v>18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14">
      <c r="A50" s="7" t="s">
        <v>209</v>
      </c>
      <c r="B50" s="7" t="s">
        <v>210</v>
      </c>
      <c r="C50" s="7">
        <v>5</v>
      </c>
      <c r="D50" s="7" t="s">
        <v>211</v>
      </c>
      <c r="E50" s="7" t="s">
        <v>212</v>
      </c>
      <c r="F50" s="3" t="s">
        <v>23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14">
      <c r="A51" s="7" t="s">
        <v>213</v>
      </c>
      <c r="B51" s="7" t="s">
        <v>214</v>
      </c>
      <c r="C51" s="7">
        <v>3</v>
      </c>
      <c r="D51" s="7" t="s">
        <v>215</v>
      </c>
      <c r="E51" s="7" t="s">
        <v>216</v>
      </c>
      <c r="F51" s="3" t="s">
        <v>18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</row>
    <row r="52" spans="1:14">
      <c r="A52" s="7" t="s">
        <v>217</v>
      </c>
      <c r="B52" s="7" t="s">
        <v>218</v>
      </c>
      <c r="C52" s="7">
        <v>2</v>
      </c>
      <c r="D52" s="7" t="s">
        <v>219</v>
      </c>
      <c r="E52" s="7" t="s">
        <v>220</v>
      </c>
      <c r="F52" s="3" t="s">
        <v>18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1:14">
      <c r="A53" s="7" t="s">
        <v>221</v>
      </c>
      <c r="B53" s="7" t="s">
        <v>222</v>
      </c>
      <c r="C53" s="7">
        <v>2</v>
      </c>
      <c r="D53" s="7" t="s">
        <v>223</v>
      </c>
      <c r="E53" s="7" t="s">
        <v>224</v>
      </c>
      <c r="F53" s="3" t="s">
        <v>169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1:14">
      <c r="A54" s="7" t="s">
        <v>225</v>
      </c>
      <c r="B54" s="7" t="s">
        <v>226</v>
      </c>
      <c r="C54" s="7">
        <v>5</v>
      </c>
      <c r="D54" s="7" t="s">
        <v>227</v>
      </c>
      <c r="E54" s="7" t="s">
        <v>228</v>
      </c>
      <c r="F54" s="3" t="s">
        <v>23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</row>
    <row r="55" spans="1:14">
      <c r="A55" s="7" t="s">
        <v>229</v>
      </c>
      <c r="B55" s="7" t="s">
        <v>230</v>
      </c>
      <c r="C55" s="7">
        <v>2</v>
      </c>
      <c r="D55" s="7" t="s">
        <v>231</v>
      </c>
      <c r="E55" s="7" t="s">
        <v>232</v>
      </c>
      <c r="F55" s="3" t="s">
        <v>18</v>
      </c>
      <c r="G55" s="3">
        <v>0</v>
      </c>
      <c r="H55" s="3">
        <v>1</v>
      </c>
      <c r="I55" s="3">
        <v>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</row>
    <row r="56" spans="1:14">
      <c r="A56" s="7" t="s">
        <v>233</v>
      </c>
      <c r="B56" s="7" t="s">
        <v>234</v>
      </c>
      <c r="C56" s="7">
        <v>2</v>
      </c>
      <c r="D56" s="7" t="s">
        <v>235</v>
      </c>
      <c r="E56" s="7" t="s">
        <v>236</v>
      </c>
      <c r="F56" s="3" t="s">
        <v>18</v>
      </c>
      <c r="G56" s="3">
        <v>1</v>
      </c>
      <c r="H56" s="3">
        <v>1</v>
      </c>
      <c r="I56" s="3">
        <v>0</v>
      </c>
      <c r="J56" s="3">
        <v>0</v>
      </c>
      <c r="K56" s="3">
        <v>0</v>
      </c>
      <c r="L56" s="3">
        <v>1</v>
      </c>
      <c r="M56" s="3">
        <v>0</v>
      </c>
      <c r="N56" s="3">
        <v>0</v>
      </c>
    </row>
    <row r="57" spans="1:14">
      <c r="A57" s="7" t="s">
        <v>237</v>
      </c>
      <c r="B57" s="7" t="s">
        <v>238</v>
      </c>
      <c r="C57" s="7">
        <v>4</v>
      </c>
      <c r="D57" s="7" t="s">
        <v>239</v>
      </c>
      <c r="E57" s="7" t="s">
        <v>240</v>
      </c>
      <c r="F57" s="3" t="s">
        <v>18</v>
      </c>
      <c r="G57" s="3">
        <v>1</v>
      </c>
      <c r="H57" s="3">
        <v>0</v>
      </c>
      <c r="I57" s="3">
        <v>1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</row>
    <row r="58" spans="1:14">
      <c r="A58" s="7" t="s">
        <v>241</v>
      </c>
      <c r="B58" s="7" t="s">
        <v>242</v>
      </c>
      <c r="C58" s="7">
        <v>3</v>
      </c>
      <c r="D58" s="7" t="s">
        <v>243</v>
      </c>
      <c r="E58" s="7" t="s">
        <v>244</v>
      </c>
      <c r="F58" s="3" t="s">
        <v>23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1:14">
      <c r="A59" s="7" t="s">
        <v>245</v>
      </c>
      <c r="B59" s="7" t="s">
        <v>246</v>
      </c>
      <c r="C59" s="7">
        <v>1</v>
      </c>
      <c r="D59" s="7" t="s">
        <v>247</v>
      </c>
      <c r="E59" s="7" t="s">
        <v>248</v>
      </c>
      <c r="F59" s="3" t="s">
        <v>18</v>
      </c>
      <c r="G59" s="3">
        <v>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>
      <c r="A60" s="7" t="s">
        <v>249</v>
      </c>
      <c r="B60" s="7" t="s">
        <v>250</v>
      </c>
      <c r="C60" s="7">
        <v>3</v>
      </c>
      <c r="D60" s="7" t="s">
        <v>251</v>
      </c>
      <c r="E60" s="7" t="s">
        <v>252</v>
      </c>
      <c r="F60" s="3" t="s">
        <v>18</v>
      </c>
      <c r="G60" s="3">
        <v>0</v>
      </c>
      <c r="H60" s="3">
        <v>0</v>
      </c>
      <c r="I60" s="3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</row>
    <row r="61" spans="1:14">
      <c r="A61" s="7" t="s">
        <v>253</v>
      </c>
      <c r="B61" s="7" t="s">
        <v>254</v>
      </c>
      <c r="C61" s="7">
        <v>5</v>
      </c>
      <c r="D61" s="7" t="s">
        <v>255</v>
      </c>
      <c r="E61" s="7" t="s">
        <v>256</v>
      </c>
      <c r="F61" s="3" t="s">
        <v>23</v>
      </c>
      <c r="G61" s="3">
        <v>0</v>
      </c>
      <c r="H61" s="3">
        <v>0</v>
      </c>
      <c r="I61" s="3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14">
      <c r="A62" s="7" t="s">
        <v>257</v>
      </c>
      <c r="B62" s="7" t="s">
        <v>258</v>
      </c>
      <c r="C62" s="7">
        <v>4</v>
      </c>
      <c r="D62" s="7" t="s">
        <v>259</v>
      </c>
      <c r="E62" s="7" t="s">
        <v>260</v>
      </c>
      <c r="F62" s="3" t="s">
        <v>23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1:14">
      <c r="A63" s="7" t="s">
        <v>261</v>
      </c>
      <c r="B63" s="7" t="s">
        <v>262</v>
      </c>
      <c r="C63" s="7">
        <v>1</v>
      </c>
      <c r="D63" s="7" t="s">
        <v>263</v>
      </c>
      <c r="E63" s="7" t="s">
        <v>264</v>
      </c>
      <c r="F63" s="3" t="s">
        <v>18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1</v>
      </c>
      <c r="M63" s="3">
        <v>0</v>
      </c>
      <c r="N63" s="3">
        <v>1</v>
      </c>
    </row>
    <row r="64" spans="1:14">
      <c r="A64" s="7" t="s">
        <v>265</v>
      </c>
      <c r="B64" s="7" t="s">
        <v>266</v>
      </c>
      <c r="C64" s="7">
        <v>4</v>
      </c>
      <c r="D64" s="7" t="s">
        <v>267</v>
      </c>
      <c r="E64" s="7" t="s">
        <v>268</v>
      </c>
      <c r="F64" s="3" t="s">
        <v>52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1:14">
      <c r="A65" s="7" t="s">
        <v>269</v>
      </c>
      <c r="B65" s="7" t="s">
        <v>270</v>
      </c>
      <c r="C65" s="7">
        <v>3</v>
      </c>
      <c r="D65" s="7" t="s">
        <v>271</v>
      </c>
      <c r="E65" s="7" t="s">
        <v>272</v>
      </c>
      <c r="F65" s="3" t="s">
        <v>18</v>
      </c>
      <c r="G65" s="3">
        <v>0</v>
      </c>
      <c r="H65" s="3">
        <v>0</v>
      </c>
      <c r="I65" s="3">
        <v>1</v>
      </c>
      <c r="J65" s="3">
        <v>0</v>
      </c>
      <c r="K65" s="3">
        <v>0</v>
      </c>
      <c r="L65" s="3">
        <v>1</v>
      </c>
      <c r="M65" s="3">
        <v>0</v>
      </c>
      <c r="N65" s="3">
        <v>0</v>
      </c>
    </row>
    <row r="66" spans="1:14">
      <c r="A66" s="7" t="s">
        <v>273</v>
      </c>
      <c r="B66" s="7" t="s">
        <v>274</v>
      </c>
      <c r="C66" s="7">
        <v>1</v>
      </c>
      <c r="D66" s="7" t="s">
        <v>275</v>
      </c>
      <c r="E66" s="7" t="s">
        <v>276</v>
      </c>
      <c r="F66" s="3" t="s">
        <v>18</v>
      </c>
      <c r="G66" s="3">
        <v>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</row>
    <row r="67" spans="1:14">
      <c r="A67" s="7" t="s">
        <v>277</v>
      </c>
      <c r="B67" s="7" t="s">
        <v>278</v>
      </c>
      <c r="C67" s="7">
        <v>1</v>
      </c>
      <c r="D67" s="7" t="s">
        <v>279</v>
      </c>
      <c r="E67" s="7" t="s">
        <v>280</v>
      </c>
      <c r="F67" s="3" t="s">
        <v>18</v>
      </c>
      <c r="G67" s="3">
        <v>0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</row>
    <row r="68" spans="1:14">
      <c r="A68" s="7" t="s">
        <v>281</v>
      </c>
      <c r="B68" s="7" t="s">
        <v>282</v>
      </c>
      <c r="C68" s="7">
        <v>2</v>
      </c>
      <c r="D68" s="7" t="s">
        <v>283</v>
      </c>
      <c r="E68" s="7" t="s">
        <v>284</v>
      </c>
      <c r="F68" s="3" t="s">
        <v>18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1:14">
      <c r="A69" s="7" t="s">
        <v>285</v>
      </c>
      <c r="B69" s="7" t="s">
        <v>286</v>
      </c>
      <c r="C69" s="7">
        <v>3</v>
      </c>
      <c r="D69" s="7" t="s">
        <v>287</v>
      </c>
      <c r="E69" s="7" t="s">
        <v>288</v>
      </c>
      <c r="F69" s="3" t="s">
        <v>23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1:14">
      <c r="A70" s="7" t="s">
        <v>289</v>
      </c>
      <c r="B70" s="7" t="s">
        <v>290</v>
      </c>
      <c r="C70" s="7">
        <v>4</v>
      </c>
      <c r="D70" s="7" t="s">
        <v>291</v>
      </c>
      <c r="E70" s="7" t="s">
        <v>292</v>
      </c>
      <c r="F70" s="3" t="s">
        <v>52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1:14">
      <c r="A71" s="7" t="s">
        <v>293</v>
      </c>
      <c r="B71" s="7" t="s">
        <v>294</v>
      </c>
      <c r="C71" s="7">
        <v>2</v>
      </c>
      <c r="D71" s="7" t="s">
        <v>295</v>
      </c>
      <c r="E71" s="7" t="s">
        <v>296</v>
      </c>
      <c r="F71" s="3" t="s">
        <v>18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1:14">
      <c r="A72" s="7" t="s">
        <v>297</v>
      </c>
      <c r="B72" s="7" t="s">
        <v>298</v>
      </c>
      <c r="C72" s="7">
        <v>2</v>
      </c>
      <c r="D72" s="7" t="s">
        <v>299</v>
      </c>
      <c r="E72" s="7" t="s">
        <v>300</v>
      </c>
      <c r="F72" s="3" t="s">
        <v>18</v>
      </c>
      <c r="G72" s="3">
        <v>0</v>
      </c>
      <c r="H72" s="3">
        <v>1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</row>
    <row r="73" spans="1:14">
      <c r="A73" s="7" t="s">
        <v>301</v>
      </c>
      <c r="B73" s="7" t="s">
        <v>302</v>
      </c>
      <c r="C73" s="7">
        <v>1</v>
      </c>
      <c r="D73" s="7" t="s">
        <v>303</v>
      </c>
      <c r="E73" s="7" t="s">
        <v>304</v>
      </c>
      <c r="F73" s="3" t="s">
        <v>18</v>
      </c>
      <c r="G73" s="3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1:14">
      <c r="A74" s="7" t="s">
        <v>305</v>
      </c>
      <c r="B74" s="7" t="s">
        <v>306</v>
      </c>
      <c r="C74" s="7">
        <v>5</v>
      </c>
      <c r="D74" s="7" t="s">
        <v>307</v>
      </c>
      <c r="E74" s="7" t="s">
        <v>308</v>
      </c>
      <c r="F74" s="3" t="s">
        <v>23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1:14">
      <c r="A75" s="7" t="s">
        <v>309</v>
      </c>
      <c r="B75" s="7" t="s">
        <v>310</v>
      </c>
      <c r="C75" s="7">
        <v>3</v>
      </c>
      <c r="D75" s="7" t="s">
        <v>311</v>
      </c>
      <c r="E75" s="7" t="s">
        <v>312</v>
      </c>
      <c r="F75" s="3" t="s">
        <v>169</v>
      </c>
      <c r="G75" s="3">
        <v>1</v>
      </c>
      <c r="H75" s="3">
        <v>0</v>
      </c>
      <c r="I75" s="3">
        <v>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</row>
    <row r="76" spans="1:14">
      <c r="A76" s="7" t="s">
        <v>313</v>
      </c>
      <c r="B76" s="7" t="s">
        <v>314</v>
      </c>
      <c r="C76" s="7">
        <v>1</v>
      </c>
      <c r="D76" s="7" t="s">
        <v>315</v>
      </c>
      <c r="E76" s="7" t="s">
        <v>316</v>
      </c>
      <c r="F76" s="3" t="s">
        <v>18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</row>
    <row r="77" spans="1:14">
      <c r="A77" s="7" t="s">
        <v>317</v>
      </c>
      <c r="B77" s="7" t="s">
        <v>318</v>
      </c>
      <c r="C77" s="7">
        <v>4</v>
      </c>
      <c r="D77" s="7" t="s">
        <v>319</v>
      </c>
      <c r="E77" s="7" t="s">
        <v>320</v>
      </c>
      <c r="F77" s="3" t="s">
        <v>23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8" spans="1:14">
      <c r="A78" s="7" t="s">
        <v>321</v>
      </c>
      <c r="B78" s="7" t="s">
        <v>322</v>
      </c>
      <c r="C78" s="7">
        <v>1</v>
      </c>
      <c r="D78" s="7" t="s">
        <v>323</v>
      </c>
      <c r="E78" s="7" t="s">
        <v>324</v>
      </c>
      <c r="F78" s="3" t="s">
        <v>18</v>
      </c>
      <c r="G78" s="3">
        <v>0</v>
      </c>
      <c r="H78" s="3">
        <v>0</v>
      </c>
      <c r="I78" s="3">
        <v>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>
      <c r="A79" s="7" t="s">
        <v>325</v>
      </c>
      <c r="B79" s="7" t="s">
        <v>326</v>
      </c>
      <c r="C79" s="7">
        <v>3</v>
      </c>
      <c r="D79" s="7" t="s">
        <v>327</v>
      </c>
      <c r="E79" s="7" t="s">
        <v>328</v>
      </c>
      <c r="F79" s="3" t="s">
        <v>18</v>
      </c>
      <c r="G79" s="3">
        <v>1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</row>
    <row r="80" spans="1:14">
      <c r="A80" s="7" t="s">
        <v>329</v>
      </c>
      <c r="B80" s="7" t="s">
        <v>330</v>
      </c>
      <c r="C80" s="7">
        <v>2</v>
      </c>
      <c r="D80" s="7" t="s">
        <v>331</v>
      </c>
      <c r="E80" s="7" t="s">
        <v>332</v>
      </c>
      <c r="F80" s="3" t="s">
        <v>18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1</v>
      </c>
      <c r="N80" s="3">
        <v>1</v>
      </c>
    </row>
    <row r="81" spans="1:14">
      <c r="A81" s="7" t="s">
        <v>333</v>
      </c>
      <c r="B81" s="7" t="s">
        <v>334</v>
      </c>
      <c r="C81" s="7">
        <v>2</v>
      </c>
      <c r="D81" s="7" t="s">
        <v>335</v>
      </c>
      <c r="E81" s="7" t="s">
        <v>336</v>
      </c>
      <c r="F81" s="3" t="s">
        <v>18</v>
      </c>
      <c r="G81" s="3">
        <v>0</v>
      </c>
      <c r="H81" s="3">
        <v>0</v>
      </c>
      <c r="I81" s="3">
        <v>0</v>
      </c>
      <c r="J81" s="3">
        <v>0</v>
      </c>
      <c r="K81" s="3">
        <v>1</v>
      </c>
      <c r="L81" s="3">
        <v>0</v>
      </c>
      <c r="M81" s="3">
        <v>0</v>
      </c>
      <c r="N81" s="3">
        <v>0</v>
      </c>
    </row>
    <row r="82" spans="1:14">
      <c r="A82" s="7" t="s">
        <v>337</v>
      </c>
      <c r="B82" s="7" t="s">
        <v>338</v>
      </c>
      <c r="C82" s="7">
        <v>3</v>
      </c>
      <c r="D82" s="7" t="s">
        <v>339</v>
      </c>
      <c r="E82" s="7" t="s">
        <v>340</v>
      </c>
      <c r="F82" s="3" t="s">
        <v>52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</row>
    <row r="83" spans="1:14">
      <c r="A83" s="7" t="s">
        <v>341</v>
      </c>
      <c r="B83" s="7" t="s">
        <v>342</v>
      </c>
      <c r="C83" s="7">
        <v>2</v>
      </c>
      <c r="D83" s="7" t="s">
        <v>343</v>
      </c>
      <c r="E83" s="7" t="s">
        <v>344</v>
      </c>
      <c r="F83" s="3" t="s">
        <v>18</v>
      </c>
      <c r="G83" s="3">
        <v>0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1:14">
      <c r="A84" s="7" t="s">
        <v>345</v>
      </c>
      <c r="B84" s="7" t="s">
        <v>346</v>
      </c>
      <c r="C84" s="7">
        <v>1</v>
      </c>
      <c r="D84" s="7" t="s">
        <v>347</v>
      </c>
      <c r="E84" s="7" t="s">
        <v>348</v>
      </c>
      <c r="F84" s="3" t="s">
        <v>18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1:14">
      <c r="A85" s="7" t="s">
        <v>349</v>
      </c>
      <c r="B85" s="7" t="s">
        <v>350</v>
      </c>
      <c r="C85" s="7">
        <v>5</v>
      </c>
      <c r="D85" s="7" t="s">
        <v>351</v>
      </c>
      <c r="E85" s="7" t="s">
        <v>352</v>
      </c>
      <c r="F85" s="3" t="s">
        <v>23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1:14">
      <c r="A86" s="7" t="s">
        <v>353</v>
      </c>
      <c r="B86" s="7" t="s">
        <v>354</v>
      </c>
      <c r="C86" s="7">
        <v>5</v>
      </c>
      <c r="D86" s="7" t="s">
        <v>355</v>
      </c>
      <c r="E86" s="7" t="s">
        <v>356</v>
      </c>
      <c r="F86" s="3" t="s">
        <v>23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1:14">
      <c r="A87" s="7" t="s">
        <v>357</v>
      </c>
      <c r="B87" s="7" t="s">
        <v>358</v>
      </c>
      <c r="C87" s="7">
        <v>4</v>
      </c>
      <c r="D87" s="7" t="s">
        <v>359</v>
      </c>
      <c r="E87" s="7" t="s">
        <v>360</v>
      </c>
      <c r="F87" s="3" t="s">
        <v>23</v>
      </c>
      <c r="G87" s="3">
        <v>0</v>
      </c>
      <c r="H87" s="3">
        <v>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1:14">
      <c r="A88" s="7" t="s">
        <v>361</v>
      </c>
      <c r="B88" s="7" t="s">
        <v>362</v>
      </c>
      <c r="C88" s="7">
        <v>1</v>
      </c>
      <c r="D88" s="7" t="s">
        <v>363</v>
      </c>
      <c r="E88" s="7" t="s">
        <v>364</v>
      </c>
      <c r="F88" s="3" t="s">
        <v>18</v>
      </c>
      <c r="G88" s="3">
        <v>0</v>
      </c>
      <c r="H88" s="3">
        <v>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1</v>
      </c>
    </row>
    <row r="89" spans="1:14">
      <c r="A89" s="7" t="s">
        <v>365</v>
      </c>
      <c r="B89" s="7" t="s">
        <v>366</v>
      </c>
      <c r="C89" s="7">
        <v>3</v>
      </c>
      <c r="D89" s="7" t="s">
        <v>367</v>
      </c>
      <c r="E89" s="7" t="s">
        <v>368</v>
      </c>
      <c r="F89" s="3" t="s">
        <v>169</v>
      </c>
      <c r="G89" s="3">
        <v>1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</row>
    <row r="90" spans="1:14">
      <c r="A90" s="7" t="s">
        <v>369</v>
      </c>
      <c r="B90" s="7" t="s">
        <v>370</v>
      </c>
      <c r="C90" s="7">
        <v>5</v>
      </c>
      <c r="D90" s="7" t="s">
        <v>371</v>
      </c>
      <c r="E90" s="7" t="s">
        <v>372</v>
      </c>
      <c r="F90" s="3" t="s">
        <v>23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</row>
    <row r="91" spans="1:14">
      <c r="A91" s="7" t="s">
        <v>373</v>
      </c>
      <c r="B91" s="7" t="s">
        <v>374</v>
      </c>
      <c r="C91" s="7">
        <v>3</v>
      </c>
      <c r="D91" s="7" t="s">
        <v>375</v>
      </c>
      <c r="E91" s="7" t="s">
        <v>376</v>
      </c>
      <c r="F91" s="3" t="s">
        <v>18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1:14">
      <c r="A92" s="7" t="s">
        <v>377</v>
      </c>
      <c r="B92" s="7" t="s">
        <v>378</v>
      </c>
      <c r="C92" s="7">
        <v>2</v>
      </c>
      <c r="D92" s="7" t="s">
        <v>379</v>
      </c>
      <c r="E92" s="7" t="s">
        <v>380</v>
      </c>
      <c r="F92" s="3" t="s">
        <v>18</v>
      </c>
      <c r="G92" s="3">
        <v>0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1:14">
      <c r="A93" s="7" t="s">
        <v>381</v>
      </c>
      <c r="B93" s="7" t="s">
        <v>382</v>
      </c>
      <c r="C93" s="7">
        <v>2</v>
      </c>
      <c r="D93" s="7" t="s">
        <v>383</v>
      </c>
      <c r="E93" s="7" t="s">
        <v>384</v>
      </c>
      <c r="F93" s="3" t="s">
        <v>18</v>
      </c>
      <c r="G93" s="3">
        <v>1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>
      <c r="A94" s="7" t="s">
        <v>385</v>
      </c>
      <c r="B94" s="7" t="s">
        <v>386</v>
      </c>
      <c r="C94" s="7">
        <v>4</v>
      </c>
      <c r="D94" s="7" t="s">
        <v>387</v>
      </c>
      <c r="E94" s="7" t="s">
        <v>388</v>
      </c>
      <c r="F94" s="3" t="s">
        <v>52</v>
      </c>
      <c r="G94" s="3">
        <v>1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1:14">
      <c r="A95" s="7" t="s">
        <v>389</v>
      </c>
      <c r="B95" s="7" t="s">
        <v>390</v>
      </c>
      <c r="C95" s="7">
        <v>2</v>
      </c>
      <c r="D95" s="7" t="s">
        <v>391</v>
      </c>
      <c r="E95" s="7" t="s">
        <v>392</v>
      </c>
      <c r="F95" s="3" t="s">
        <v>18</v>
      </c>
      <c r="G95" s="3">
        <v>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>
      <c r="A96" s="7" t="s">
        <v>393</v>
      </c>
      <c r="B96" s="7" t="s">
        <v>394</v>
      </c>
      <c r="C96" s="7">
        <v>2</v>
      </c>
      <c r="D96" s="7" t="s">
        <v>395</v>
      </c>
      <c r="E96" s="7" t="s">
        <v>396</v>
      </c>
      <c r="F96" s="3" t="s">
        <v>18</v>
      </c>
      <c r="G96" s="3">
        <v>1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1:14">
      <c r="A97" s="7" t="s">
        <v>397</v>
      </c>
      <c r="B97" s="7" t="s">
        <v>398</v>
      </c>
      <c r="C97" s="7">
        <v>1</v>
      </c>
      <c r="D97" s="7" t="s">
        <v>399</v>
      </c>
      <c r="E97" s="7" t="s">
        <v>400</v>
      </c>
      <c r="F97" s="3" t="s">
        <v>18</v>
      </c>
      <c r="G97" s="3">
        <v>1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>
      <c r="A98" s="7" t="s">
        <v>401</v>
      </c>
      <c r="B98" s="7" t="s">
        <v>402</v>
      </c>
      <c r="C98" s="7">
        <v>4</v>
      </c>
      <c r="D98" s="7" t="s">
        <v>403</v>
      </c>
      <c r="E98" s="7" t="s">
        <v>404</v>
      </c>
      <c r="F98" s="3" t="s">
        <v>23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1:14">
      <c r="A99" s="7" t="s">
        <v>405</v>
      </c>
      <c r="B99" s="7" t="s">
        <v>406</v>
      </c>
      <c r="C99" s="7">
        <v>3</v>
      </c>
      <c r="D99" s="7" t="s">
        <v>143</v>
      </c>
      <c r="E99" s="7" t="s">
        <v>407</v>
      </c>
      <c r="F99" s="3" t="s">
        <v>23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1:14">
      <c r="A100" s="7" t="s">
        <v>408</v>
      </c>
      <c r="B100" s="7" t="s">
        <v>409</v>
      </c>
      <c r="C100" s="7">
        <v>4</v>
      </c>
      <c r="D100" s="7" t="s">
        <v>410</v>
      </c>
      <c r="E100" s="7" t="s">
        <v>411</v>
      </c>
      <c r="F100" s="3" t="s">
        <v>169</v>
      </c>
      <c r="G100" s="3">
        <v>1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</row>
    <row r="101" spans="1:14">
      <c r="A101" s="7" t="s">
        <v>412</v>
      </c>
      <c r="B101" s="7" t="s">
        <v>413</v>
      </c>
      <c r="C101" s="7">
        <v>4</v>
      </c>
      <c r="D101" s="7" t="s">
        <v>414</v>
      </c>
      <c r="E101" s="7" t="s">
        <v>415</v>
      </c>
      <c r="F101" s="3" t="s">
        <v>18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</sheetData>
  <phoneticPr fontId="10" type="noConversion"/>
  <dataValidations count="1">
    <dataValidation type="list" allowBlank="1" showInputMessage="1" showErrorMessage="1" sqref="F1:F1048576" xr:uid="{00000000-0002-0000-0100-000000000000}">
      <formula1>"negative,positive,mixed,neutral"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"/>
  <sheetViews>
    <sheetView tabSelected="1" topLeftCell="K1" zoomScale="130" zoomScaleNormal="130" workbookViewId="0">
      <selection activeCell="C88" sqref="C88"/>
    </sheetView>
  </sheetViews>
  <sheetFormatPr baseColWidth="10" defaultColWidth="9" defaultRowHeight="22"/>
  <cols>
    <col min="1" max="1" width="14.6640625" style="7" customWidth="1"/>
    <col min="2" max="2" width="18.83203125" style="7" customWidth="1"/>
    <col min="3" max="3" width="66.5" style="7" customWidth="1"/>
    <col min="4" max="4" width="17.1640625" style="7" customWidth="1"/>
    <col min="5" max="5" width="19" style="7" customWidth="1"/>
    <col min="6" max="6" width="12.6640625" style="7" customWidth="1"/>
    <col min="7" max="7" width="18" style="7" customWidth="1"/>
    <col min="8" max="8" width="11.6640625" style="7" customWidth="1"/>
    <col min="9" max="10" width="11.5" style="7" customWidth="1"/>
    <col min="11" max="11" width="12" style="7" customWidth="1"/>
    <col min="12" max="12" width="11.5" style="7" customWidth="1"/>
    <col min="13" max="13" width="11.83203125" style="7" customWidth="1"/>
    <col min="14" max="14" width="11.1640625" style="7" customWidth="1"/>
    <col min="15" max="15" width="11.83203125" style="7" customWidth="1"/>
    <col min="16" max="17" width="9" style="7"/>
    <col min="18" max="18" width="19.5" style="7" customWidth="1"/>
    <col min="19" max="19" width="10.83203125" style="7" customWidth="1"/>
    <col min="20" max="16384" width="9" style="7"/>
  </cols>
  <sheetData>
    <row r="1" spans="1:26" ht="42" customHeight="1">
      <c r="A1" s="4" t="s">
        <v>0</v>
      </c>
      <c r="B1" s="5" t="s">
        <v>2</v>
      </c>
      <c r="C1" s="5" t="s">
        <v>4</v>
      </c>
      <c r="D1" s="5" t="s">
        <v>417</v>
      </c>
      <c r="E1" s="5" t="s">
        <v>418</v>
      </c>
      <c r="F1" s="5" t="s">
        <v>419</v>
      </c>
      <c r="G1" s="5" t="s">
        <v>420</v>
      </c>
      <c r="H1" s="5" t="s">
        <v>421</v>
      </c>
      <c r="I1" s="5" t="s">
        <v>422</v>
      </c>
      <c r="J1" s="5" t="s">
        <v>423</v>
      </c>
      <c r="K1" s="5" t="s">
        <v>424</v>
      </c>
      <c r="L1" s="5" t="s">
        <v>425</v>
      </c>
      <c r="M1" s="5" t="s">
        <v>426</v>
      </c>
      <c r="N1" s="5" t="s">
        <v>427</v>
      </c>
      <c r="O1" s="6" t="s">
        <v>428</v>
      </c>
      <c r="R1" s="36" t="s">
        <v>429</v>
      </c>
      <c r="S1" s="36"/>
      <c r="T1" s="36"/>
      <c r="U1" s="36"/>
      <c r="V1" s="36"/>
      <c r="W1" s="36"/>
      <c r="X1" s="36"/>
      <c r="Y1" s="36"/>
      <c r="Z1" s="36"/>
    </row>
    <row r="2" spans="1:26">
      <c r="A2" t="s">
        <v>14</v>
      </c>
      <c r="B2">
        <v>1</v>
      </c>
      <c r="C2" t="s">
        <v>17</v>
      </c>
      <c r="D2" s="7" t="str">
        <f>int_ai_sample_v2!F2</f>
        <v>negative</v>
      </c>
      <c r="E2" s="7" t="str">
        <f>人工標注!F2</f>
        <v>negative</v>
      </c>
      <c r="F2" s="7" t="str">
        <f>IF(D2=E2,"是","否")</f>
        <v>是</v>
      </c>
      <c r="G2" s="28">
        <f>COUNTIF($F$2:$F$101,"是")/COUNTA($A$2:$A$101)</f>
        <v>0.87</v>
      </c>
      <c r="H2" s="7" t="str">
        <f>IF(int_ai_sample_v2!G2=人工標注!G2,"是","否")</f>
        <v>是</v>
      </c>
      <c r="I2" s="7" t="str">
        <f>IF(int_ai_sample_v2!H2=人工標注!H2,"是","否")</f>
        <v>是</v>
      </c>
      <c r="J2" s="7" t="str">
        <f>IF(int_ai_sample_v2!I2=人工標注!I2,"是","否")</f>
        <v>是</v>
      </c>
      <c r="K2" s="7" t="str">
        <f>IF(int_ai_sample_v2!J2=人工標注!J2,"是","否")</f>
        <v>是</v>
      </c>
      <c r="L2" s="7" t="str">
        <f>IF(int_ai_sample_v2!K2=人工標注!K2,"是","否")</f>
        <v>是</v>
      </c>
      <c r="M2" s="7" t="str">
        <f>IF(int_ai_sample_v2!L2=人工標注!L2,"是","否")</f>
        <v>是</v>
      </c>
      <c r="N2" s="7" t="str">
        <f>IF(int_ai_sample_v2!M2=人工標注!M2,"是","否")</f>
        <v>是</v>
      </c>
      <c r="O2" s="7" t="str">
        <f>IF(int_ai_sample_v2!N2=人工標注!N2,"是","否")</f>
        <v>是</v>
      </c>
      <c r="R2" s="8" t="s">
        <v>430</v>
      </c>
      <c r="S2" s="9">
        <f>COUNTA($A$2:$A$101)</f>
        <v>100</v>
      </c>
      <c r="T2"/>
      <c r="U2"/>
      <c r="V2"/>
      <c r="W2"/>
      <c r="X2"/>
      <c r="Y2"/>
      <c r="Z2"/>
    </row>
    <row r="3" spans="1:26">
      <c r="A3" t="s">
        <v>19</v>
      </c>
      <c r="B3">
        <v>4</v>
      </c>
      <c r="C3" t="s">
        <v>22</v>
      </c>
      <c r="D3" s="7" t="str">
        <f>int_ai_sample_v2!F3</f>
        <v>positive</v>
      </c>
      <c r="E3" s="7" t="str">
        <f>人工標注!F3</f>
        <v>positive</v>
      </c>
      <c r="F3" s="7" t="str">
        <f t="shared" ref="F3:F66" si="0">IF(D3=E3,"是","否")</f>
        <v>是</v>
      </c>
      <c r="G3" s="28">
        <f t="shared" ref="G3:G66" si="1">COUNTIF($F$2:$F$101,"是")/COUNTA($A$2:$A$101)</f>
        <v>0.87</v>
      </c>
      <c r="H3" s="7" t="str">
        <f>IF(int_ai_sample_v2!G3=人工標注!G3,"是","否")</f>
        <v>是</v>
      </c>
      <c r="I3" s="7" t="str">
        <f>IF(int_ai_sample_v2!H3=人工標注!H3,"是","否")</f>
        <v>是</v>
      </c>
      <c r="J3" s="7" t="str">
        <f>IF(int_ai_sample_v2!I3=人工標注!I3,"是","否")</f>
        <v>是</v>
      </c>
      <c r="K3" s="7" t="str">
        <f>IF(int_ai_sample_v2!J3=人工標注!J3,"是","否")</f>
        <v>是</v>
      </c>
      <c r="L3" s="7" t="str">
        <f>IF(int_ai_sample_v2!K3=人工標注!K3,"是","否")</f>
        <v>是</v>
      </c>
      <c r="M3" s="7" t="str">
        <f>IF(int_ai_sample_v2!L3=人工標注!L3,"是","否")</f>
        <v>是</v>
      </c>
      <c r="N3" s="7" t="str">
        <f>IF(int_ai_sample_v2!M3=人工標注!M3,"是","否")</f>
        <v>是</v>
      </c>
      <c r="O3" s="7" t="str">
        <f>IF(int_ai_sample_v2!N3=人工標注!N3,"是","否")</f>
        <v>是</v>
      </c>
      <c r="R3" s="8" t="s">
        <v>431</v>
      </c>
      <c r="S3" s="29">
        <f>COUNTIF($F$2:$F$101,"是")/$S$2</f>
        <v>0.87</v>
      </c>
      <c r="T3"/>
      <c r="U3"/>
      <c r="V3"/>
      <c r="W3"/>
      <c r="X3"/>
      <c r="Y3"/>
      <c r="Z3"/>
    </row>
    <row r="4" spans="1:26">
      <c r="A4" t="s">
        <v>24</v>
      </c>
      <c r="B4">
        <v>3</v>
      </c>
      <c r="C4" t="s">
        <v>27</v>
      </c>
      <c r="D4" s="7" t="str">
        <f>int_ai_sample_v2!F4</f>
        <v>negative</v>
      </c>
      <c r="E4" s="7" t="str">
        <f>人工標注!F4</f>
        <v>negative</v>
      </c>
      <c r="F4" s="7" t="str">
        <f t="shared" si="0"/>
        <v>是</v>
      </c>
      <c r="G4" s="28">
        <f t="shared" si="1"/>
        <v>0.87</v>
      </c>
      <c r="H4" s="7" t="str">
        <f>IF(int_ai_sample_v2!G4=人工標注!G4,"是","否")</f>
        <v>是</v>
      </c>
      <c r="I4" s="7" t="str">
        <f>IF(int_ai_sample_v2!H4=人工標注!H4,"是","否")</f>
        <v>是</v>
      </c>
      <c r="J4" s="7" t="str">
        <f>IF(int_ai_sample_v2!I4=人工標注!I4,"是","否")</f>
        <v>是</v>
      </c>
      <c r="K4" s="7" t="str">
        <f>IF(int_ai_sample_v2!J4=人工標注!J4,"是","否")</f>
        <v>是</v>
      </c>
      <c r="L4" s="7" t="str">
        <f>IF(int_ai_sample_v2!K4=人工標注!K4,"是","否")</f>
        <v>是</v>
      </c>
      <c r="M4" s="7" t="str">
        <f>IF(int_ai_sample_v2!L4=人工標注!L4,"是","否")</f>
        <v>是</v>
      </c>
      <c r="N4" s="7" t="str">
        <f>IF(int_ai_sample_v2!M4=人工標注!M4,"是","否")</f>
        <v>是</v>
      </c>
      <c r="O4" s="7" t="str">
        <f>IF(int_ai_sample_v2!N4=人工標注!N4,"是","否")</f>
        <v>是</v>
      </c>
      <c r="R4"/>
      <c r="S4"/>
      <c r="T4"/>
      <c r="U4"/>
      <c r="V4"/>
      <c r="W4"/>
      <c r="X4"/>
      <c r="Y4"/>
      <c r="Z4"/>
    </row>
    <row r="5" spans="1:26">
      <c r="A5" t="s">
        <v>28</v>
      </c>
      <c r="B5">
        <v>4</v>
      </c>
      <c r="C5" t="s">
        <v>31</v>
      </c>
      <c r="D5" s="7" t="str">
        <f>int_ai_sample_v2!F5</f>
        <v>positive</v>
      </c>
      <c r="E5" s="7" t="str">
        <f>人工標注!F5</f>
        <v>positive</v>
      </c>
      <c r="F5" s="7" t="str">
        <f t="shared" si="0"/>
        <v>是</v>
      </c>
      <c r="G5" s="28">
        <f t="shared" si="1"/>
        <v>0.87</v>
      </c>
      <c r="H5" s="7" t="str">
        <f>IF(int_ai_sample_v2!G5=人工標注!G5,"是","否")</f>
        <v>是</v>
      </c>
      <c r="I5" s="7" t="str">
        <f>IF(int_ai_sample_v2!H5=人工標注!H5,"是","否")</f>
        <v>是</v>
      </c>
      <c r="J5" s="7" t="str">
        <f>IF(int_ai_sample_v2!I5=人工標注!I5,"是","否")</f>
        <v>否</v>
      </c>
      <c r="K5" s="7" t="str">
        <f>IF(int_ai_sample_v2!J5=人工標注!J5,"是","否")</f>
        <v>是</v>
      </c>
      <c r="L5" s="7" t="str">
        <f>IF(int_ai_sample_v2!K5=人工標注!K5,"是","否")</f>
        <v>是</v>
      </c>
      <c r="M5" s="7" t="str">
        <f>IF(int_ai_sample_v2!L5=人工標注!L5,"是","否")</f>
        <v>是</v>
      </c>
      <c r="N5" s="7" t="str">
        <f>IF(int_ai_sample_v2!M5=人工標注!M5,"是","否")</f>
        <v>是</v>
      </c>
      <c r="O5" s="7" t="str">
        <f>IF(int_ai_sample_v2!N5=人工標注!N5,"是","否")</f>
        <v>是</v>
      </c>
      <c r="R5" s="10" t="s">
        <v>432</v>
      </c>
      <c r="S5" s="10" t="s">
        <v>433</v>
      </c>
      <c r="T5" s="10" t="s">
        <v>434</v>
      </c>
      <c r="U5" s="10" t="s">
        <v>435</v>
      </c>
      <c r="V5" s="10" t="s">
        <v>436</v>
      </c>
      <c r="W5" s="10" t="s">
        <v>437</v>
      </c>
      <c r="X5" s="10" t="s">
        <v>438</v>
      </c>
      <c r="Y5" s="10" t="s">
        <v>439</v>
      </c>
      <c r="Z5" s="10" t="s">
        <v>440</v>
      </c>
    </row>
    <row r="6" spans="1:26">
      <c r="A6" t="s">
        <v>32</v>
      </c>
      <c r="B6">
        <v>4</v>
      </c>
      <c r="C6" t="s">
        <v>35</v>
      </c>
      <c r="D6" s="7" t="str">
        <f>int_ai_sample_v2!F6</f>
        <v>positive</v>
      </c>
      <c r="E6" s="7" t="str">
        <f>人工標注!F6</f>
        <v>positive</v>
      </c>
      <c r="F6" s="7" t="str">
        <f t="shared" si="0"/>
        <v>是</v>
      </c>
      <c r="G6" s="28">
        <f t="shared" si="1"/>
        <v>0.87</v>
      </c>
      <c r="H6" s="7" t="str">
        <f>IF(int_ai_sample_v2!G6=人工標注!G6,"是","否")</f>
        <v>是</v>
      </c>
      <c r="I6" s="7" t="str">
        <f>IF(int_ai_sample_v2!H6=人工標注!H6,"是","否")</f>
        <v>是</v>
      </c>
      <c r="J6" s="7" t="str">
        <f>IF(int_ai_sample_v2!I6=人工標注!I6,"是","否")</f>
        <v>否</v>
      </c>
      <c r="K6" s="7" t="str">
        <f>IF(int_ai_sample_v2!J6=人工標注!J6,"是","否")</f>
        <v>是</v>
      </c>
      <c r="L6" s="7" t="str">
        <f>IF(int_ai_sample_v2!K6=人工標注!K6,"是","否")</f>
        <v>是</v>
      </c>
      <c r="M6" s="7" t="str">
        <f>IF(int_ai_sample_v2!L6=人工標注!L6,"是","否")</f>
        <v>是</v>
      </c>
      <c r="N6" s="7" t="str">
        <f>IF(int_ai_sample_v2!M6=人工標注!M6,"是","否")</f>
        <v>是</v>
      </c>
      <c r="O6" s="7" t="str">
        <f>IF(int_ai_sample_v2!N6=人工標注!N6,"是","否")</f>
        <v>是</v>
      </c>
      <c r="R6" s="11" t="s">
        <v>441</v>
      </c>
      <c r="S6" s="12">
        <f>COUNTIFS(int_ai_sample_v2!$G$2:$G$101,1,人工標注!$G$2:$G$101,1)</f>
        <v>44</v>
      </c>
      <c r="T6" s="12">
        <f>COUNTIFS(int_ai_sample_v2!$G$2:$G$101,1,人工標注!$G$2:$G$101,0)</f>
        <v>0</v>
      </c>
      <c r="U6" s="12">
        <f>COUNTIFS(int_ai_sample_v2!$G$2:$G$101,0,人工標注!$G$2:$G$101,1)</f>
        <v>2</v>
      </c>
      <c r="V6" s="12">
        <f>COUNTIFS(int_ai_sample_v2!$G$2:$G$101,0,人工標注!$G$2:$G$101,0)</f>
        <v>54</v>
      </c>
      <c r="W6" s="30">
        <f t="shared" ref="W6:W13" si="2">IF(S6+T6=0,0,S6/(S6+T6))</f>
        <v>1</v>
      </c>
      <c r="X6" s="30">
        <f t="shared" ref="X6:X13" si="3">IF(S6+U6=0,0,S6/(S6+U6))</f>
        <v>0.95652173913043481</v>
      </c>
      <c r="Y6" s="30">
        <f t="shared" ref="Y6:Y13" si="4">IF(W6+X6=0,0,2*W6*X6/(W6+X6))</f>
        <v>0.97777777777777775</v>
      </c>
      <c r="Z6" s="13">
        <f t="shared" ref="Z6:Z13" si="5">S6+U6</f>
        <v>46</v>
      </c>
    </row>
    <row r="7" spans="1:26">
      <c r="A7" t="s">
        <v>36</v>
      </c>
      <c r="B7">
        <v>2</v>
      </c>
      <c r="C7" t="s">
        <v>39</v>
      </c>
      <c r="D7" s="7" t="str">
        <f>int_ai_sample_v2!F7</f>
        <v>negative</v>
      </c>
      <c r="E7" s="7" t="str">
        <f>人工標注!F7</f>
        <v>negative</v>
      </c>
      <c r="F7" s="7" t="str">
        <f t="shared" si="0"/>
        <v>是</v>
      </c>
      <c r="G7" s="28">
        <f t="shared" si="1"/>
        <v>0.87</v>
      </c>
      <c r="H7" s="7" t="str">
        <f>IF(int_ai_sample_v2!G7=人工標注!G7,"是","否")</f>
        <v>是</v>
      </c>
      <c r="I7" s="7" t="str">
        <f>IF(int_ai_sample_v2!H7=人工標注!H7,"是","否")</f>
        <v>是</v>
      </c>
      <c r="J7" s="7" t="str">
        <f>IF(int_ai_sample_v2!I7=人工標注!I7,"是","否")</f>
        <v>是</v>
      </c>
      <c r="K7" s="7" t="str">
        <f>IF(int_ai_sample_v2!J7=人工標注!J7,"是","否")</f>
        <v>是</v>
      </c>
      <c r="L7" s="7" t="str">
        <f>IF(int_ai_sample_v2!K7=人工標注!K7,"是","否")</f>
        <v>是</v>
      </c>
      <c r="M7" s="7" t="str">
        <f>IF(int_ai_sample_v2!L7=人工標注!L7,"是","否")</f>
        <v>是</v>
      </c>
      <c r="N7" s="7" t="str">
        <f>IF(int_ai_sample_v2!M7=人工標注!M7,"是","否")</f>
        <v>是</v>
      </c>
      <c r="O7" s="7" t="str">
        <f>IF(int_ai_sample_v2!N7=人工標注!N7,"是","否")</f>
        <v>是</v>
      </c>
      <c r="R7" s="14" t="s">
        <v>442</v>
      </c>
      <c r="S7" s="15">
        <f>COUNTIFS(int_ai_sample_v2!$H$2:$H$101,1,人工標注!$H$2:$H$101,1)</f>
        <v>11</v>
      </c>
      <c r="T7" s="15">
        <f>COUNTIFS(int_ai_sample_v2!$H$2:$H$101,1,人工標注!$H$2:$H$101,0)</f>
        <v>3</v>
      </c>
      <c r="U7" s="15">
        <f>COUNTIFS(int_ai_sample_v2!$H$2:$H$101,0,人工標注!$H$2:$H$101,1)</f>
        <v>6</v>
      </c>
      <c r="V7" s="15">
        <f>COUNTIFS(int_ai_sample_v2!$H$2:$H$101,0,人工標注!$H$2:$H$101,0)</f>
        <v>80</v>
      </c>
      <c r="W7" s="31">
        <f t="shared" si="2"/>
        <v>0.7857142857142857</v>
      </c>
      <c r="X7" s="31">
        <f t="shared" si="3"/>
        <v>0.6470588235294118</v>
      </c>
      <c r="Y7" s="31">
        <f t="shared" si="4"/>
        <v>0.70967741935483863</v>
      </c>
      <c r="Z7" s="16">
        <f t="shared" si="5"/>
        <v>17</v>
      </c>
    </row>
    <row r="8" spans="1:26">
      <c r="A8" t="s">
        <v>40</v>
      </c>
      <c r="B8">
        <v>2</v>
      </c>
      <c r="C8" t="s">
        <v>43</v>
      </c>
      <c r="D8" s="7" t="str">
        <f>int_ai_sample_v2!F8</f>
        <v>negative</v>
      </c>
      <c r="E8" s="7" t="str">
        <f>人工標注!F8</f>
        <v>negative</v>
      </c>
      <c r="F8" s="7" t="str">
        <f t="shared" si="0"/>
        <v>是</v>
      </c>
      <c r="G8" s="28">
        <f t="shared" si="1"/>
        <v>0.87</v>
      </c>
      <c r="H8" s="7" t="str">
        <f>IF(int_ai_sample_v2!G8=人工標注!G8,"是","否")</f>
        <v>是</v>
      </c>
      <c r="I8" s="7" t="str">
        <f>IF(int_ai_sample_v2!H8=人工標注!H8,"是","否")</f>
        <v>是</v>
      </c>
      <c r="J8" s="7" t="str">
        <f>IF(int_ai_sample_v2!I8=人工標注!I8,"是","否")</f>
        <v>是</v>
      </c>
      <c r="K8" s="7" t="str">
        <f>IF(int_ai_sample_v2!J8=人工標注!J8,"是","否")</f>
        <v>是</v>
      </c>
      <c r="L8" s="7" t="str">
        <f>IF(int_ai_sample_v2!K8=人工標注!K8,"是","否")</f>
        <v>是</v>
      </c>
      <c r="M8" s="7" t="str">
        <f>IF(int_ai_sample_v2!L8=人工標注!L8,"是","否")</f>
        <v>是</v>
      </c>
      <c r="N8" s="7" t="str">
        <f>IF(int_ai_sample_v2!M8=人工標注!M8,"是","否")</f>
        <v>是</v>
      </c>
      <c r="O8" s="7" t="str">
        <f>IF(int_ai_sample_v2!N8=人工標注!N8,"是","否")</f>
        <v>是</v>
      </c>
      <c r="R8" s="14" t="s">
        <v>443</v>
      </c>
      <c r="S8" s="15">
        <f>COUNTIFS(int_ai_sample_v2!$I$2:$I$101,1,人工標注!$I$2:$I$101,1)</f>
        <v>15</v>
      </c>
      <c r="T8" s="15">
        <f>COUNTIFS(int_ai_sample_v2!$I$2:$I$101,1,人工標注!$I$2:$I$101,0)</f>
        <v>4</v>
      </c>
      <c r="U8" s="15">
        <f>COUNTIFS(int_ai_sample_v2!$I$2:$I$101,0,人工標注!$I$2:$I$101,1)</f>
        <v>3</v>
      </c>
      <c r="V8" s="15">
        <f>COUNTIFS(int_ai_sample_v2!$I$2:$I$101,0,人工標注!$I$2:$I$101,0)</f>
        <v>78</v>
      </c>
      <c r="W8" s="31">
        <f t="shared" si="2"/>
        <v>0.78947368421052633</v>
      </c>
      <c r="X8" s="31">
        <f t="shared" si="3"/>
        <v>0.83333333333333337</v>
      </c>
      <c r="Y8" s="31">
        <f t="shared" si="4"/>
        <v>0.81081081081081086</v>
      </c>
      <c r="Z8" s="16">
        <f t="shared" si="5"/>
        <v>18</v>
      </c>
    </row>
    <row r="9" spans="1:26">
      <c r="A9" t="s">
        <v>44</v>
      </c>
      <c r="B9">
        <v>1</v>
      </c>
      <c r="C9" t="s">
        <v>47</v>
      </c>
      <c r="D9" s="7" t="str">
        <f>int_ai_sample_v2!F9</f>
        <v>negative</v>
      </c>
      <c r="E9" s="7" t="str">
        <f>人工標注!F9</f>
        <v>negative</v>
      </c>
      <c r="F9" s="7" t="str">
        <f t="shared" si="0"/>
        <v>是</v>
      </c>
      <c r="G9" s="28">
        <f t="shared" si="1"/>
        <v>0.87</v>
      </c>
      <c r="H9" s="7" t="str">
        <f>IF(int_ai_sample_v2!G9=人工標注!G9,"是","否")</f>
        <v>是</v>
      </c>
      <c r="I9" s="7" t="str">
        <f>IF(int_ai_sample_v2!H9=人工標注!H9,"是","否")</f>
        <v>是</v>
      </c>
      <c r="J9" s="7" t="str">
        <f>IF(int_ai_sample_v2!I9=人工標注!I9,"是","否")</f>
        <v>是</v>
      </c>
      <c r="K9" s="7" t="str">
        <f>IF(int_ai_sample_v2!J9=人工標注!J9,"是","否")</f>
        <v>否</v>
      </c>
      <c r="L9" s="7" t="str">
        <f>IF(int_ai_sample_v2!K9=人工標注!K9,"是","否")</f>
        <v>是</v>
      </c>
      <c r="M9" s="7" t="str">
        <f>IF(int_ai_sample_v2!L9=人工標注!L9,"是","否")</f>
        <v>是</v>
      </c>
      <c r="N9" s="7" t="str">
        <f>IF(int_ai_sample_v2!M9=人工標注!M9,"是","否")</f>
        <v>是</v>
      </c>
      <c r="O9" s="7" t="str">
        <f>IF(int_ai_sample_v2!N9=人工標注!N9,"是","否")</f>
        <v>否</v>
      </c>
      <c r="R9" s="14" t="s">
        <v>444</v>
      </c>
      <c r="S9" s="15">
        <f>COUNTIFS(int_ai_sample_v2!$J$2:$J$101,1,人工標注!$J$2:$J$101,1)</f>
        <v>4</v>
      </c>
      <c r="T9" s="15">
        <f>COUNTIFS(int_ai_sample_v2!$J$2:$J$101,1,人工標注!$J$2:$J$101,0)</f>
        <v>12</v>
      </c>
      <c r="U9" s="15">
        <f>COUNTIFS(int_ai_sample_v2!$J$2:$J$101,0,人工標注!$J$2:$J$101,1)</f>
        <v>1</v>
      </c>
      <c r="V9" s="15">
        <f>COUNTIFS(int_ai_sample_v2!$J$2:$J$101,0,人工標注!$J$2:$J$101,0)</f>
        <v>83</v>
      </c>
      <c r="W9" s="31">
        <f t="shared" si="2"/>
        <v>0.25</v>
      </c>
      <c r="X9" s="31">
        <f t="shared" si="3"/>
        <v>0.8</v>
      </c>
      <c r="Y9" s="31">
        <f t="shared" si="4"/>
        <v>0.38095238095238093</v>
      </c>
      <c r="Z9" s="16">
        <f t="shared" si="5"/>
        <v>5</v>
      </c>
    </row>
    <row r="10" spans="1:26">
      <c r="A10" t="s">
        <v>48</v>
      </c>
      <c r="B10">
        <v>4</v>
      </c>
      <c r="C10" t="s">
        <v>51</v>
      </c>
      <c r="D10" s="7" t="str">
        <f>int_ai_sample_v2!F10</f>
        <v>neutral</v>
      </c>
      <c r="E10" s="7" t="str">
        <f>人工標注!F10</f>
        <v>positive</v>
      </c>
      <c r="F10" s="7" t="str">
        <f t="shared" si="0"/>
        <v>否</v>
      </c>
      <c r="G10" s="28">
        <f t="shared" si="1"/>
        <v>0.87</v>
      </c>
      <c r="H10" s="7" t="str">
        <f>IF(int_ai_sample_v2!G10=人工標注!G10,"是","否")</f>
        <v>是</v>
      </c>
      <c r="I10" s="7" t="str">
        <f>IF(int_ai_sample_v2!H10=人工標注!H10,"是","否")</f>
        <v>是</v>
      </c>
      <c r="J10" s="7" t="str">
        <f>IF(int_ai_sample_v2!I10=人工標注!I10,"是","否")</f>
        <v>是</v>
      </c>
      <c r="K10" s="7" t="str">
        <f>IF(int_ai_sample_v2!J10=人工標注!J10,"是","否")</f>
        <v>是</v>
      </c>
      <c r="L10" s="7" t="str">
        <f>IF(int_ai_sample_v2!K10=人工標注!K10,"是","否")</f>
        <v>是</v>
      </c>
      <c r="M10" s="7" t="str">
        <f>IF(int_ai_sample_v2!L10=人工標注!L10,"是","否")</f>
        <v>是</v>
      </c>
      <c r="N10" s="7" t="str">
        <f>IF(int_ai_sample_v2!M10=人工標注!M10,"是","否")</f>
        <v>是</v>
      </c>
      <c r="O10" s="7" t="str">
        <f>IF(int_ai_sample_v2!N10=人工標注!N10,"是","否")</f>
        <v>是</v>
      </c>
      <c r="R10" s="14" t="s">
        <v>445</v>
      </c>
      <c r="S10" s="15">
        <f>COUNTIFS(int_ai_sample_v2!$K$2:$K$101,1,人工標注!$K$2:$K$101,1)</f>
        <v>2</v>
      </c>
      <c r="T10" s="15">
        <f>COUNTIFS(int_ai_sample_v2!$K$2:$K$101,1,人工標注!$K$2:$K$101,0)</f>
        <v>0</v>
      </c>
      <c r="U10" s="15">
        <f>COUNTIFS(int_ai_sample_v2!$K$2:$K$101,0,人工標注!$K$2:$K$101,1)</f>
        <v>1</v>
      </c>
      <c r="V10" s="15">
        <f>COUNTIFS(int_ai_sample_v2!$K$2:$K$101,0,人工標注!$K$2:$K$101,0)</f>
        <v>97</v>
      </c>
      <c r="W10" s="31">
        <f t="shared" si="2"/>
        <v>1</v>
      </c>
      <c r="X10" s="31">
        <f t="shared" si="3"/>
        <v>0.66666666666666663</v>
      </c>
      <c r="Y10" s="31">
        <f t="shared" si="4"/>
        <v>0.8</v>
      </c>
      <c r="Z10" s="16">
        <f t="shared" si="5"/>
        <v>3</v>
      </c>
    </row>
    <row r="11" spans="1:26">
      <c r="A11" t="s">
        <v>53</v>
      </c>
      <c r="B11">
        <v>3</v>
      </c>
      <c r="C11" t="s">
        <v>56</v>
      </c>
      <c r="D11" s="7" t="str">
        <f>int_ai_sample_v2!F11</f>
        <v>neutral</v>
      </c>
      <c r="E11" s="7" t="str">
        <f>人工標注!F11</f>
        <v>neutral</v>
      </c>
      <c r="F11" s="7" t="str">
        <f t="shared" si="0"/>
        <v>是</v>
      </c>
      <c r="G11" s="28">
        <f t="shared" si="1"/>
        <v>0.87</v>
      </c>
      <c r="H11" s="7" t="str">
        <f>IF(int_ai_sample_v2!G11=人工標注!G11,"是","否")</f>
        <v>是</v>
      </c>
      <c r="I11" s="7" t="str">
        <f>IF(int_ai_sample_v2!H11=人工標注!H11,"是","否")</f>
        <v>是</v>
      </c>
      <c r="J11" s="7" t="str">
        <f>IF(int_ai_sample_v2!I11=人工標注!I11,"是","否")</f>
        <v>是</v>
      </c>
      <c r="K11" s="7" t="str">
        <f>IF(int_ai_sample_v2!J11=人工標注!J11,"是","否")</f>
        <v>是</v>
      </c>
      <c r="L11" s="7" t="str">
        <f>IF(int_ai_sample_v2!K11=人工標注!K11,"是","否")</f>
        <v>是</v>
      </c>
      <c r="M11" s="7" t="str">
        <f>IF(int_ai_sample_v2!L11=人工標注!L11,"是","否")</f>
        <v>是</v>
      </c>
      <c r="N11" s="7" t="str">
        <f>IF(int_ai_sample_v2!M11=人工標注!M11,"是","否")</f>
        <v>是</v>
      </c>
      <c r="O11" s="7" t="str">
        <f>IF(int_ai_sample_v2!N11=人工標注!N11,"是","否")</f>
        <v>是</v>
      </c>
      <c r="R11" s="14" t="s">
        <v>446</v>
      </c>
      <c r="S11" s="15">
        <f>COUNTIFS(int_ai_sample_v2!$L$2:$L$101,1,人工標注!$L$2:$L$101,1)</f>
        <v>9</v>
      </c>
      <c r="T11" s="15">
        <f>COUNTIFS(int_ai_sample_v2!$L$2:$L$101,1,人工標注!$L$2:$L$101,0)</f>
        <v>9</v>
      </c>
      <c r="U11" s="15">
        <f>COUNTIFS(int_ai_sample_v2!$L$2:$L$101,0,人工標注!$L$2:$L$101,1)</f>
        <v>0</v>
      </c>
      <c r="V11" s="15">
        <f>COUNTIFS(int_ai_sample_v2!$L$2:$L$101,0,人工標注!$L$2:$L$101,0)</f>
        <v>82</v>
      </c>
      <c r="W11" s="31">
        <f t="shared" si="2"/>
        <v>0.5</v>
      </c>
      <c r="X11" s="31">
        <f t="shared" si="3"/>
        <v>1</v>
      </c>
      <c r="Y11" s="31">
        <f t="shared" si="4"/>
        <v>0.66666666666666663</v>
      </c>
      <c r="Z11" s="16">
        <f t="shared" si="5"/>
        <v>9</v>
      </c>
    </row>
    <row r="12" spans="1:26">
      <c r="A12" t="s">
        <v>57</v>
      </c>
      <c r="B12">
        <v>1</v>
      </c>
      <c r="C12" t="s">
        <v>60</v>
      </c>
      <c r="D12" s="7" t="str">
        <f>int_ai_sample_v2!F12</f>
        <v>negative</v>
      </c>
      <c r="E12" s="7" t="str">
        <f>人工標注!F12</f>
        <v>negative</v>
      </c>
      <c r="F12" s="7" t="str">
        <f t="shared" si="0"/>
        <v>是</v>
      </c>
      <c r="G12" s="28">
        <f t="shared" si="1"/>
        <v>0.87</v>
      </c>
      <c r="H12" s="7" t="str">
        <f>IF(int_ai_sample_v2!G12=人工標注!G12,"是","否")</f>
        <v>是</v>
      </c>
      <c r="I12" s="7" t="str">
        <f>IF(int_ai_sample_v2!H12=人工標注!H12,"是","否")</f>
        <v>是</v>
      </c>
      <c r="J12" s="7" t="str">
        <f>IF(int_ai_sample_v2!I12=人工標注!I12,"是","否")</f>
        <v>是</v>
      </c>
      <c r="K12" s="7" t="str">
        <f>IF(int_ai_sample_v2!J12=人工標注!J12,"是","否")</f>
        <v>是</v>
      </c>
      <c r="L12" s="7" t="str">
        <f>IF(int_ai_sample_v2!K12=人工標注!K12,"是","否")</f>
        <v>是</v>
      </c>
      <c r="M12" s="7" t="str">
        <f>IF(int_ai_sample_v2!L12=人工標注!L12,"是","否")</f>
        <v>是</v>
      </c>
      <c r="N12" s="7" t="str">
        <f>IF(int_ai_sample_v2!M12=人工標注!M12,"是","否")</f>
        <v>是</v>
      </c>
      <c r="O12" s="7" t="str">
        <f>IF(int_ai_sample_v2!N12=人工標注!N12,"是","否")</f>
        <v>是</v>
      </c>
      <c r="R12" s="14" t="s">
        <v>447</v>
      </c>
      <c r="S12" s="15">
        <f>COUNTIFS(int_ai_sample_v2!$M$2:$M$101,1,人工標注!$M$2:$M$101,1)</f>
        <v>4</v>
      </c>
      <c r="T12" s="15">
        <f>COUNTIFS(int_ai_sample_v2!$M$2:$M$101,1,人工標注!$M$2:$M$101,0)</f>
        <v>3</v>
      </c>
      <c r="U12" s="15">
        <f>COUNTIFS(int_ai_sample_v2!$M$2:$M$101,0,人工標注!$M$2:$M$101,1)</f>
        <v>1</v>
      </c>
      <c r="V12" s="15">
        <f>COUNTIFS(int_ai_sample_v2!$M$2:$M$101,0,人工標注!$M$2:$M$101,0)</f>
        <v>92</v>
      </c>
      <c r="W12" s="31">
        <f t="shared" si="2"/>
        <v>0.5714285714285714</v>
      </c>
      <c r="X12" s="31">
        <f t="shared" si="3"/>
        <v>0.8</v>
      </c>
      <c r="Y12" s="31">
        <f t="shared" si="4"/>
        <v>0.66666666666666663</v>
      </c>
      <c r="Z12" s="16">
        <f t="shared" si="5"/>
        <v>5</v>
      </c>
    </row>
    <row r="13" spans="1:26">
      <c r="A13" t="s">
        <v>61</v>
      </c>
      <c r="B13">
        <v>5</v>
      </c>
      <c r="C13" t="s">
        <v>64</v>
      </c>
      <c r="D13" s="7" t="str">
        <f>int_ai_sample_v2!F13</f>
        <v>positive</v>
      </c>
      <c r="E13" s="7" t="str">
        <f>人工標注!F13</f>
        <v>positive</v>
      </c>
      <c r="F13" s="7" t="str">
        <f t="shared" si="0"/>
        <v>是</v>
      </c>
      <c r="G13" s="28">
        <f t="shared" si="1"/>
        <v>0.87</v>
      </c>
      <c r="H13" s="7" t="str">
        <f>IF(int_ai_sample_v2!G13=人工標注!G13,"是","否")</f>
        <v>是</v>
      </c>
      <c r="I13" s="7" t="str">
        <f>IF(int_ai_sample_v2!H13=人工標注!H13,"是","否")</f>
        <v>是</v>
      </c>
      <c r="J13" s="7" t="str">
        <f>IF(int_ai_sample_v2!I13=人工標注!I13,"是","否")</f>
        <v>是</v>
      </c>
      <c r="K13" s="7" t="str">
        <f>IF(int_ai_sample_v2!J13=人工標注!J13,"是","否")</f>
        <v>是</v>
      </c>
      <c r="L13" s="7" t="str">
        <f>IF(int_ai_sample_v2!K13=人工標注!K13,"是","否")</f>
        <v>是</v>
      </c>
      <c r="M13" s="7" t="str">
        <f>IF(int_ai_sample_v2!L13=人工標注!L13,"是","否")</f>
        <v>否</v>
      </c>
      <c r="N13" s="7" t="str">
        <f>IF(int_ai_sample_v2!M13=人工標注!M13,"是","否")</f>
        <v>是</v>
      </c>
      <c r="O13" s="7" t="str">
        <f>IF(int_ai_sample_v2!N13=人工標注!N13,"是","否")</f>
        <v>是</v>
      </c>
      <c r="R13" s="17" t="s">
        <v>448</v>
      </c>
      <c r="S13" s="18">
        <f>COUNTIFS(int_ai_sample_v2!$N$2:$N$101,1,人工標注!$N$2:$N$101,1)</f>
        <v>2</v>
      </c>
      <c r="T13" s="18">
        <f>COUNTIFS(int_ai_sample_v2!$N$2:$N$101,1,人工標注!$N$2:$N$101,0)</f>
        <v>0</v>
      </c>
      <c r="U13" s="18">
        <f>COUNTIFS(int_ai_sample_v2!$N$2:$N$101,0,人工標注!$N$2:$N$101,1)</f>
        <v>2</v>
      </c>
      <c r="V13" s="18">
        <f>COUNTIFS(int_ai_sample_v2!$N$2:$N$101,0,人工標注!$N$2:$N$101,0)</f>
        <v>96</v>
      </c>
      <c r="W13" s="32">
        <f t="shared" si="2"/>
        <v>1</v>
      </c>
      <c r="X13" s="32">
        <f t="shared" si="3"/>
        <v>0.5</v>
      </c>
      <c r="Y13" s="32">
        <f t="shared" si="4"/>
        <v>0.66666666666666663</v>
      </c>
      <c r="Z13" s="19">
        <f t="shared" si="5"/>
        <v>4</v>
      </c>
    </row>
    <row r="14" spans="1:26">
      <c r="A14" t="s">
        <v>65</v>
      </c>
      <c r="B14">
        <v>3</v>
      </c>
      <c r="C14" t="s">
        <v>68</v>
      </c>
      <c r="D14" s="7" t="str">
        <f>int_ai_sample_v2!F14</f>
        <v>negative</v>
      </c>
      <c r="E14" s="7" t="str">
        <f>人工標注!F14</f>
        <v>negative</v>
      </c>
      <c r="F14" s="7" t="str">
        <f t="shared" si="0"/>
        <v>是</v>
      </c>
      <c r="G14" s="28">
        <f t="shared" si="1"/>
        <v>0.87</v>
      </c>
      <c r="H14" s="7" t="str">
        <f>IF(int_ai_sample_v2!G14=人工標注!G14,"是","否")</f>
        <v>是</v>
      </c>
      <c r="I14" s="7" t="str">
        <f>IF(int_ai_sample_v2!H14=人工標注!H14,"是","否")</f>
        <v>是</v>
      </c>
      <c r="J14" s="7" t="str">
        <f>IF(int_ai_sample_v2!I14=人工標注!I14,"是","否")</f>
        <v>是</v>
      </c>
      <c r="K14" s="7" t="str">
        <f>IF(int_ai_sample_v2!J14=人工標注!J14,"是","否")</f>
        <v>是</v>
      </c>
      <c r="L14" s="7" t="str">
        <f>IF(int_ai_sample_v2!K14=人工標注!K14,"是","否")</f>
        <v>是</v>
      </c>
      <c r="M14" s="7" t="str">
        <f>IF(int_ai_sample_v2!L14=人工標注!L14,"是","否")</f>
        <v>是</v>
      </c>
      <c r="N14" s="7" t="str">
        <f>IF(int_ai_sample_v2!M14=人工標注!M14,"是","否")</f>
        <v>是</v>
      </c>
      <c r="O14" s="7" t="str">
        <f>IF(int_ai_sample_v2!N14=人工標注!N14,"是","否")</f>
        <v>是</v>
      </c>
      <c r="R14" s="20"/>
      <c r="S14" s="21"/>
      <c r="T14" s="21"/>
      <c r="U14" s="21"/>
      <c r="V14" s="21"/>
      <c r="W14" s="33"/>
      <c r="X14" s="33"/>
      <c r="Y14" s="33"/>
      <c r="Z14" s="21"/>
    </row>
    <row r="15" spans="1:26">
      <c r="A15" t="s">
        <v>69</v>
      </c>
      <c r="B15">
        <v>4</v>
      </c>
      <c r="C15" t="s">
        <v>72</v>
      </c>
      <c r="D15" s="7" t="str">
        <f>int_ai_sample_v2!F15</f>
        <v>positive</v>
      </c>
      <c r="E15" s="7" t="str">
        <f>人工標注!F15</f>
        <v>positive</v>
      </c>
      <c r="F15" s="7" t="str">
        <f t="shared" si="0"/>
        <v>是</v>
      </c>
      <c r="G15" s="28">
        <f t="shared" si="1"/>
        <v>0.87</v>
      </c>
      <c r="H15" s="7" t="str">
        <f>IF(int_ai_sample_v2!G15=人工標注!G15,"是","否")</f>
        <v>是</v>
      </c>
      <c r="I15" s="7" t="str">
        <f>IF(int_ai_sample_v2!H15=人工標注!H15,"是","否")</f>
        <v>是</v>
      </c>
      <c r="J15" s="7" t="str">
        <f>IF(int_ai_sample_v2!I15=人工標注!I15,"是","否")</f>
        <v>是</v>
      </c>
      <c r="K15" s="7" t="str">
        <f>IF(int_ai_sample_v2!J15=人工標注!J15,"是","否")</f>
        <v>是</v>
      </c>
      <c r="L15" s="7" t="str">
        <f>IF(int_ai_sample_v2!K15=人工標注!K15,"是","否")</f>
        <v>是</v>
      </c>
      <c r="M15" s="7" t="str">
        <f>IF(int_ai_sample_v2!L15=人工標注!L15,"是","否")</f>
        <v>是</v>
      </c>
      <c r="N15" s="7" t="str">
        <f>IF(int_ai_sample_v2!M15=人工標注!M15,"是","否")</f>
        <v>是</v>
      </c>
      <c r="O15" s="7" t="str">
        <f>IF(int_ai_sample_v2!N15=人工標注!N15,"是","否")</f>
        <v>是</v>
      </c>
      <c r="R15" s="22" t="s">
        <v>449</v>
      </c>
      <c r="S15" s="23"/>
      <c r="T15" s="23"/>
      <c r="U15" s="23"/>
      <c r="V15" s="23"/>
      <c r="W15" s="34">
        <f>AVERAGE(W6:W13)</f>
        <v>0.73707706766917291</v>
      </c>
      <c r="X15" s="34">
        <f>AVERAGE(X6:X13)</f>
        <v>0.77544757033248091</v>
      </c>
      <c r="Y15" s="34">
        <f>AVERAGE(Y6:Y13)</f>
        <v>0.70990229861197618</v>
      </c>
      <c r="Z15" s="24">
        <f>SUM(Z6:Z13)</f>
        <v>107</v>
      </c>
    </row>
    <row r="16" spans="1:26">
      <c r="A16" t="s">
        <v>73</v>
      </c>
      <c r="B16">
        <v>1</v>
      </c>
      <c r="C16" t="s">
        <v>76</v>
      </c>
      <c r="D16" s="7" t="str">
        <f>int_ai_sample_v2!F16</f>
        <v>negative</v>
      </c>
      <c r="E16" s="7" t="str">
        <f>人工標注!F16</f>
        <v>negative</v>
      </c>
      <c r="F16" s="7" t="str">
        <f t="shared" si="0"/>
        <v>是</v>
      </c>
      <c r="G16" s="28">
        <f t="shared" si="1"/>
        <v>0.87</v>
      </c>
      <c r="H16" s="7" t="str">
        <f>IF(int_ai_sample_v2!G16=人工標注!G16,"是","否")</f>
        <v>是</v>
      </c>
      <c r="I16" s="7" t="str">
        <f>IF(int_ai_sample_v2!H16=人工標注!H16,"是","否")</f>
        <v>是</v>
      </c>
      <c r="J16" s="7" t="str">
        <f>IF(int_ai_sample_v2!I16=人工標注!I16,"是","否")</f>
        <v>是</v>
      </c>
      <c r="K16" s="7" t="str">
        <f>IF(int_ai_sample_v2!J16=人工標注!J16,"是","否")</f>
        <v>是</v>
      </c>
      <c r="L16" s="7" t="str">
        <f>IF(int_ai_sample_v2!K16=人工標注!K16,"是","否")</f>
        <v>是</v>
      </c>
      <c r="M16" s="7" t="str">
        <f>IF(int_ai_sample_v2!L16=人工標注!L16,"是","否")</f>
        <v>是</v>
      </c>
      <c r="N16" s="7" t="str">
        <f>IF(int_ai_sample_v2!M16=人工標注!M16,"是","否")</f>
        <v>是</v>
      </c>
      <c r="O16" s="7" t="str">
        <f>IF(int_ai_sample_v2!N16=人工標注!N16,"是","否")</f>
        <v>是</v>
      </c>
      <c r="R16" s="25" t="s">
        <v>450</v>
      </c>
      <c r="S16" s="26">
        <f>SUM(S6:S13)</f>
        <v>91</v>
      </c>
      <c r="T16" s="26">
        <f>SUM(T6:T13)</f>
        <v>31</v>
      </c>
      <c r="U16" s="26">
        <f>SUM(U6:U13)</f>
        <v>16</v>
      </c>
      <c r="V16" s="26">
        <f>SUM(V6:V13)</f>
        <v>662</v>
      </c>
      <c r="W16" s="35">
        <f>IF(S16+T16=0,0,S16/(S16+T16))</f>
        <v>0.74590163934426235</v>
      </c>
      <c r="X16" s="35">
        <f>IF(S16+U16=0,0,S16/(S16+U16))</f>
        <v>0.85046728971962615</v>
      </c>
      <c r="Y16" s="35">
        <f>IF(W16+X16=0,0,2*W16*X16/(W16+X16))</f>
        <v>0.79475982532751099</v>
      </c>
      <c r="Z16" s="27">
        <f>SUM(Z6:Z13)</f>
        <v>107</v>
      </c>
    </row>
    <row r="17" spans="1:15">
      <c r="A17" t="s">
        <v>77</v>
      </c>
      <c r="B17">
        <v>3</v>
      </c>
      <c r="C17" t="s">
        <v>80</v>
      </c>
      <c r="D17" s="7" t="str">
        <f>int_ai_sample_v2!F17</f>
        <v>negative</v>
      </c>
      <c r="E17" s="7" t="str">
        <f>人工標注!F17</f>
        <v>negative</v>
      </c>
      <c r="F17" s="7" t="str">
        <f t="shared" si="0"/>
        <v>是</v>
      </c>
      <c r="G17" s="28">
        <f t="shared" si="1"/>
        <v>0.87</v>
      </c>
      <c r="H17" s="7" t="str">
        <f>IF(int_ai_sample_v2!G17=人工標注!G17,"是","否")</f>
        <v>是</v>
      </c>
      <c r="I17" s="7" t="str">
        <f>IF(int_ai_sample_v2!H17=人工標注!H17,"是","否")</f>
        <v>是</v>
      </c>
      <c r="J17" s="7" t="str">
        <f>IF(int_ai_sample_v2!I17=人工標注!I17,"是","否")</f>
        <v>是</v>
      </c>
      <c r="K17" s="7" t="str">
        <f>IF(int_ai_sample_v2!J17=人工標注!J17,"是","否")</f>
        <v>是</v>
      </c>
      <c r="L17" s="7" t="str">
        <f>IF(int_ai_sample_v2!K17=人工標注!K17,"是","否")</f>
        <v>是</v>
      </c>
      <c r="M17" s="7" t="str">
        <f>IF(int_ai_sample_v2!L17=人工標注!L17,"是","否")</f>
        <v>是</v>
      </c>
      <c r="N17" s="7" t="str">
        <f>IF(int_ai_sample_v2!M17=人工標注!M17,"是","否")</f>
        <v>是</v>
      </c>
      <c r="O17" s="7" t="str">
        <f>IF(int_ai_sample_v2!N17=人工標注!N17,"是","否")</f>
        <v>是</v>
      </c>
    </row>
    <row r="18" spans="1:15">
      <c r="A18" t="s">
        <v>81</v>
      </c>
      <c r="B18">
        <v>1</v>
      </c>
      <c r="C18" t="s">
        <v>84</v>
      </c>
      <c r="D18" s="7" t="str">
        <f>int_ai_sample_v2!F18</f>
        <v>negative</v>
      </c>
      <c r="E18" s="7" t="str">
        <f>人工標注!F18</f>
        <v>negative</v>
      </c>
      <c r="F18" s="7" t="str">
        <f t="shared" si="0"/>
        <v>是</v>
      </c>
      <c r="G18" s="28">
        <f t="shared" si="1"/>
        <v>0.87</v>
      </c>
      <c r="H18" s="7" t="str">
        <f>IF(int_ai_sample_v2!G18=人工標注!G18,"是","否")</f>
        <v>是</v>
      </c>
      <c r="I18" s="7" t="str">
        <f>IF(int_ai_sample_v2!H18=人工標注!H18,"是","否")</f>
        <v>是</v>
      </c>
      <c r="J18" s="7" t="str">
        <f>IF(int_ai_sample_v2!I18=人工標注!I18,"是","否")</f>
        <v>是</v>
      </c>
      <c r="K18" s="7" t="str">
        <f>IF(int_ai_sample_v2!J18=人工標注!J18,"是","否")</f>
        <v>是</v>
      </c>
      <c r="L18" s="7" t="str">
        <f>IF(int_ai_sample_v2!K18=人工標注!K18,"是","否")</f>
        <v>是</v>
      </c>
      <c r="M18" s="7" t="str">
        <f>IF(int_ai_sample_v2!L18=人工標注!L18,"是","否")</f>
        <v>是</v>
      </c>
      <c r="N18" s="7" t="str">
        <f>IF(int_ai_sample_v2!M18=人工標注!M18,"是","否")</f>
        <v>否</v>
      </c>
      <c r="O18" s="7" t="str">
        <f>IF(int_ai_sample_v2!N18=人工標注!N18,"是","否")</f>
        <v>是</v>
      </c>
    </row>
    <row r="19" spans="1:15">
      <c r="A19" t="s">
        <v>85</v>
      </c>
      <c r="B19">
        <v>2</v>
      </c>
      <c r="C19" t="s">
        <v>88</v>
      </c>
      <c r="D19" s="7" t="str">
        <f>int_ai_sample_v2!F19</f>
        <v>neutral</v>
      </c>
      <c r="E19" s="7" t="str">
        <f>人工標注!F19</f>
        <v>mixed</v>
      </c>
      <c r="F19" s="7" t="str">
        <f t="shared" si="0"/>
        <v>否</v>
      </c>
      <c r="G19" s="28">
        <f t="shared" si="1"/>
        <v>0.87</v>
      </c>
      <c r="H19" s="7" t="str">
        <f>IF(int_ai_sample_v2!G19=人工標注!G19,"是","否")</f>
        <v>是</v>
      </c>
      <c r="I19" s="7" t="str">
        <f>IF(int_ai_sample_v2!H19=人工標注!H19,"是","否")</f>
        <v>否</v>
      </c>
      <c r="J19" s="7" t="str">
        <f>IF(int_ai_sample_v2!I19=人工標注!I19,"是","否")</f>
        <v>是</v>
      </c>
      <c r="K19" s="7" t="str">
        <f>IF(int_ai_sample_v2!J19=人工標注!J19,"是","否")</f>
        <v>是</v>
      </c>
      <c r="L19" s="7" t="str">
        <f>IF(int_ai_sample_v2!K19=人工標注!K19,"是","否")</f>
        <v>是</v>
      </c>
      <c r="M19" s="7" t="str">
        <f>IF(int_ai_sample_v2!L19=人工標注!L19,"是","否")</f>
        <v>是</v>
      </c>
      <c r="N19" s="7" t="str">
        <f>IF(int_ai_sample_v2!M19=人工標注!M19,"是","否")</f>
        <v>是</v>
      </c>
      <c r="O19" s="7" t="str">
        <f>IF(int_ai_sample_v2!N19=人工標注!N19,"是","否")</f>
        <v>是</v>
      </c>
    </row>
    <row r="20" spans="1:15">
      <c r="A20" t="s">
        <v>89</v>
      </c>
      <c r="B20">
        <v>5</v>
      </c>
      <c r="C20" t="s">
        <v>92</v>
      </c>
      <c r="D20" s="7" t="str">
        <f>int_ai_sample_v2!F20</f>
        <v>positive</v>
      </c>
      <c r="E20" s="7" t="str">
        <f>人工標注!F20</f>
        <v>positive</v>
      </c>
      <c r="F20" s="7" t="str">
        <f t="shared" si="0"/>
        <v>是</v>
      </c>
      <c r="G20" s="28">
        <f t="shared" si="1"/>
        <v>0.87</v>
      </c>
      <c r="H20" s="7" t="str">
        <f>IF(int_ai_sample_v2!G20=人工標注!G20,"是","否")</f>
        <v>是</v>
      </c>
      <c r="I20" s="7" t="str">
        <f>IF(int_ai_sample_v2!H20=人工標注!H20,"是","否")</f>
        <v>是</v>
      </c>
      <c r="J20" s="7" t="str">
        <f>IF(int_ai_sample_v2!I20=人工標注!I20,"是","否")</f>
        <v>是</v>
      </c>
      <c r="K20" s="7" t="str">
        <f>IF(int_ai_sample_v2!J20=人工標注!J20,"是","否")</f>
        <v>是</v>
      </c>
      <c r="L20" s="7" t="str">
        <f>IF(int_ai_sample_v2!K20=人工標注!K20,"是","否")</f>
        <v>是</v>
      </c>
      <c r="M20" s="7" t="str">
        <f>IF(int_ai_sample_v2!L20=人工標注!L20,"是","否")</f>
        <v>是</v>
      </c>
      <c r="N20" s="7" t="str">
        <f>IF(int_ai_sample_v2!M20=人工標注!M20,"是","否")</f>
        <v>是</v>
      </c>
      <c r="O20" s="7" t="str">
        <f>IF(int_ai_sample_v2!N20=人工標注!N20,"是","否")</f>
        <v>是</v>
      </c>
    </row>
    <row r="21" spans="1:15">
      <c r="A21" t="s">
        <v>93</v>
      </c>
      <c r="B21">
        <v>5</v>
      </c>
      <c r="C21" t="s">
        <v>96</v>
      </c>
      <c r="D21" s="7" t="str">
        <f>int_ai_sample_v2!F21</f>
        <v>positive</v>
      </c>
      <c r="E21" s="7" t="str">
        <f>人工標注!F21</f>
        <v>positive</v>
      </c>
      <c r="F21" s="7" t="str">
        <f t="shared" si="0"/>
        <v>是</v>
      </c>
      <c r="G21" s="28">
        <f t="shared" si="1"/>
        <v>0.87</v>
      </c>
      <c r="H21" s="7" t="str">
        <f>IF(int_ai_sample_v2!G21=人工標注!G21,"是","否")</f>
        <v>是</v>
      </c>
      <c r="I21" s="7" t="str">
        <f>IF(int_ai_sample_v2!H21=人工標注!H21,"是","否")</f>
        <v>是</v>
      </c>
      <c r="J21" s="7" t="str">
        <f>IF(int_ai_sample_v2!I21=人工標注!I21,"是","否")</f>
        <v>是</v>
      </c>
      <c r="K21" s="7" t="str">
        <f>IF(int_ai_sample_v2!J21=人工標注!J21,"是","否")</f>
        <v>是</v>
      </c>
      <c r="L21" s="7" t="str">
        <f>IF(int_ai_sample_v2!K21=人工標注!K21,"是","否")</f>
        <v>是</v>
      </c>
      <c r="M21" s="7" t="str">
        <f>IF(int_ai_sample_v2!L21=人工標注!L21,"是","否")</f>
        <v>是</v>
      </c>
      <c r="N21" s="7" t="str">
        <f>IF(int_ai_sample_v2!M21=人工標注!M21,"是","否")</f>
        <v>是</v>
      </c>
      <c r="O21" s="7" t="str">
        <f>IF(int_ai_sample_v2!N21=人工標注!N21,"是","否")</f>
        <v>是</v>
      </c>
    </row>
    <row r="22" spans="1:15">
      <c r="A22" t="s">
        <v>97</v>
      </c>
      <c r="B22">
        <v>1</v>
      </c>
      <c r="C22" t="s">
        <v>100</v>
      </c>
      <c r="D22" s="7" t="str">
        <f>int_ai_sample_v2!F22</f>
        <v>negative</v>
      </c>
      <c r="E22" s="7" t="str">
        <f>人工標注!F22</f>
        <v>negative</v>
      </c>
      <c r="F22" s="7" t="str">
        <f t="shared" si="0"/>
        <v>是</v>
      </c>
      <c r="G22" s="28">
        <f t="shared" si="1"/>
        <v>0.87</v>
      </c>
      <c r="H22" s="7" t="str">
        <f>IF(int_ai_sample_v2!G22=人工標注!G22,"是","否")</f>
        <v>是</v>
      </c>
      <c r="I22" s="7" t="str">
        <f>IF(int_ai_sample_v2!H22=人工標注!H22,"是","否")</f>
        <v>是</v>
      </c>
      <c r="J22" s="7" t="str">
        <f>IF(int_ai_sample_v2!I22=人工標注!I22,"是","否")</f>
        <v>是</v>
      </c>
      <c r="K22" s="7" t="str">
        <f>IF(int_ai_sample_v2!J22=人工標注!J22,"是","否")</f>
        <v>是</v>
      </c>
      <c r="L22" s="7" t="str">
        <f>IF(int_ai_sample_v2!K22=人工標注!K22,"是","否")</f>
        <v>是</v>
      </c>
      <c r="M22" s="7" t="str">
        <f>IF(int_ai_sample_v2!L22=人工標注!L22,"是","否")</f>
        <v>是</v>
      </c>
      <c r="N22" s="7" t="str">
        <f>IF(int_ai_sample_v2!M22=人工標注!M22,"是","否")</f>
        <v>是</v>
      </c>
      <c r="O22" s="7" t="str">
        <f>IF(int_ai_sample_v2!N22=人工標注!N22,"是","否")</f>
        <v>是</v>
      </c>
    </row>
    <row r="23" spans="1:15">
      <c r="A23" t="s">
        <v>101</v>
      </c>
      <c r="B23">
        <v>5</v>
      </c>
      <c r="C23" t="s">
        <v>104</v>
      </c>
      <c r="D23" s="7" t="str">
        <f>int_ai_sample_v2!F23</f>
        <v>positive</v>
      </c>
      <c r="E23" s="7" t="str">
        <f>人工標注!F23</f>
        <v>positive</v>
      </c>
      <c r="F23" s="7" t="str">
        <f t="shared" si="0"/>
        <v>是</v>
      </c>
      <c r="G23" s="28">
        <f t="shared" si="1"/>
        <v>0.87</v>
      </c>
      <c r="H23" s="7" t="str">
        <f>IF(int_ai_sample_v2!G23=人工標注!G23,"是","否")</f>
        <v>是</v>
      </c>
      <c r="I23" s="7" t="str">
        <f>IF(int_ai_sample_v2!H23=人工標注!H23,"是","否")</f>
        <v>是</v>
      </c>
      <c r="J23" s="7" t="str">
        <f>IF(int_ai_sample_v2!I23=人工標注!I23,"是","否")</f>
        <v>是</v>
      </c>
      <c r="K23" s="7" t="str">
        <f>IF(int_ai_sample_v2!J23=人工標注!J23,"是","否")</f>
        <v>是</v>
      </c>
      <c r="L23" s="7" t="str">
        <f>IF(int_ai_sample_v2!K23=人工標注!K23,"是","否")</f>
        <v>是</v>
      </c>
      <c r="M23" s="7" t="str">
        <f>IF(int_ai_sample_v2!L23=人工標注!L23,"是","否")</f>
        <v>是</v>
      </c>
      <c r="N23" s="7" t="str">
        <f>IF(int_ai_sample_v2!M23=人工標注!M23,"是","否")</f>
        <v>是</v>
      </c>
      <c r="O23" s="7" t="str">
        <f>IF(int_ai_sample_v2!N23=人工標注!N23,"是","否")</f>
        <v>是</v>
      </c>
    </row>
    <row r="24" spans="1:15">
      <c r="A24" t="s">
        <v>105</v>
      </c>
      <c r="B24">
        <v>1</v>
      </c>
      <c r="C24" t="s">
        <v>108</v>
      </c>
      <c r="D24" s="7" t="str">
        <f>int_ai_sample_v2!F24</f>
        <v>negative</v>
      </c>
      <c r="E24" s="7" t="str">
        <f>人工標注!F24</f>
        <v>negative</v>
      </c>
      <c r="F24" s="7" t="str">
        <f t="shared" si="0"/>
        <v>是</v>
      </c>
      <c r="G24" s="28">
        <f t="shared" si="1"/>
        <v>0.87</v>
      </c>
      <c r="H24" s="7" t="str">
        <f>IF(int_ai_sample_v2!G24=人工標注!G24,"是","否")</f>
        <v>是</v>
      </c>
      <c r="I24" s="7" t="str">
        <f>IF(int_ai_sample_v2!H24=人工標注!H24,"是","否")</f>
        <v>是</v>
      </c>
      <c r="J24" s="7" t="str">
        <f>IF(int_ai_sample_v2!I24=人工標注!I24,"是","否")</f>
        <v>是</v>
      </c>
      <c r="K24" s="7" t="str">
        <f>IF(int_ai_sample_v2!J24=人工標注!J24,"是","否")</f>
        <v>否</v>
      </c>
      <c r="L24" s="7" t="str">
        <f>IF(int_ai_sample_v2!K24=人工標注!K24,"是","否")</f>
        <v>是</v>
      </c>
      <c r="M24" s="7" t="str">
        <f>IF(int_ai_sample_v2!L24=人工標注!L24,"是","否")</f>
        <v>是</v>
      </c>
      <c r="N24" s="7" t="str">
        <f>IF(int_ai_sample_v2!M24=人工標注!M24,"是","否")</f>
        <v>是</v>
      </c>
      <c r="O24" s="7" t="str">
        <f>IF(int_ai_sample_v2!N24=人工標注!N24,"是","否")</f>
        <v>是</v>
      </c>
    </row>
    <row r="25" spans="1:15">
      <c r="A25" t="s">
        <v>109</v>
      </c>
      <c r="B25">
        <v>4</v>
      </c>
      <c r="C25" t="s">
        <v>112</v>
      </c>
      <c r="D25" s="7" t="str">
        <f>int_ai_sample_v2!F25</f>
        <v>negative</v>
      </c>
      <c r="E25" s="7" t="str">
        <f>人工標注!F25</f>
        <v>negative</v>
      </c>
      <c r="F25" s="7" t="str">
        <f t="shared" si="0"/>
        <v>是</v>
      </c>
      <c r="G25" s="28">
        <f t="shared" si="1"/>
        <v>0.87</v>
      </c>
      <c r="H25" s="7" t="str">
        <f>IF(int_ai_sample_v2!G25=人工標注!G25,"是","否")</f>
        <v>是</v>
      </c>
      <c r="I25" s="7" t="str">
        <f>IF(int_ai_sample_v2!H25=人工標注!H25,"是","否")</f>
        <v>是</v>
      </c>
      <c r="J25" s="7" t="str">
        <f>IF(int_ai_sample_v2!I25=人工標注!I25,"是","否")</f>
        <v>是</v>
      </c>
      <c r="K25" s="7" t="str">
        <f>IF(int_ai_sample_v2!J25=人工標注!J25,"是","否")</f>
        <v>是</v>
      </c>
      <c r="L25" s="7" t="str">
        <f>IF(int_ai_sample_v2!K25=人工標注!K25,"是","否")</f>
        <v>是</v>
      </c>
      <c r="M25" s="7" t="str">
        <f>IF(int_ai_sample_v2!L25=人工標注!L25,"是","否")</f>
        <v>是</v>
      </c>
      <c r="N25" s="7" t="str">
        <f>IF(int_ai_sample_v2!M25=人工標注!M25,"是","否")</f>
        <v>是</v>
      </c>
      <c r="O25" s="7" t="str">
        <f>IF(int_ai_sample_v2!N25=人工標注!N25,"是","否")</f>
        <v>是</v>
      </c>
    </row>
    <row r="26" spans="1:15">
      <c r="A26" t="s">
        <v>113</v>
      </c>
      <c r="B26">
        <v>4</v>
      </c>
      <c r="C26" t="s">
        <v>116</v>
      </c>
      <c r="D26" s="7" t="str">
        <f>int_ai_sample_v2!F26</f>
        <v>positive</v>
      </c>
      <c r="E26" s="7" t="str">
        <f>人工標注!F26</f>
        <v>positive</v>
      </c>
      <c r="F26" s="7" t="str">
        <f t="shared" si="0"/>
        <v>是</v>
      </c>
      <c r="G26" s="28">
        <f t="shared" si="1"/>
        <v>0.87</v>
      </c>
      <c r="H26" s="7" t="str">
        <f>IF(int_ai_sample_v2!G26=人工標注!G26,"是","否")</f>
        <v>是</v>
      </c>
      <c r="I26" s="7" t="str">
        <f>IF(int_ai_sample_v2!H26=人工標注!H26,"是","否")</f>
        <v>是</v>
      </c>
      <c r="J26" s="7" t="str">
        <f>IF(int_ai_sample_v2!I26=人工標注!I26,"是","否")</f>
        <v>是</v>
      </c>
      <c r="K26" s="7" t="str">
        <f>IF(int_ai_sample_v2!J26=人工標注!J26,"是","否")</f>
        <v>是</v>
      </c>
      <c r="L26" s="7" t="str">
        <f>IF(int_ai_sample_v2!K26=人工標注!K26,"是","否")</f>
        <v>是</v>
      </c>
      <c r="M26" s="7" t="str">
        <f>IF(int_ai_sample_v2!L26=人工標注!L26,"是","否")</f>
        <v>否</v>
      </c>
      <c r="N26" s="7" t="str">
        <f>IF(int_ai_sample_v2!M26=人工標注!M26,"是","否")</f>
        <v>是</v>
      </c>
      <c r="O26" s="7" t="str">
        <f>IF(int_ai_sample_v2!N26=人工標注!N26,"是","否")</f>
        <v>是</v>
      </c>
    </row>
    <row r="27" spans="1:15">
      <c r="A27" t="s">
        <v>117</v>
      </c>
      <c r="B27">
        <v>3</v>
      </c>
      <c r="C27" t="s">
        <v>120</v>
      </c>
      <c r="D27" s="7" t="str">
        <f>int_ai_sample_v2!F27</f>
        <v>negative</v>
      </c>
      <c r="E27" s="7" t="str">
        <f>人工標注!F27</f>
        <v>negative</v>
      </c>
      <c r="F27" s="7" t="str">
        <f t="shared" si="0"/>
        <v>是</v>
      </c>
      <c r="G27" s="28">
        <f t="shared" si="1"/>
        <v>0.87</v>
      </c>
      <c r="H27" s="7" t="str">
        <f>IF(int_ai_sample_v2!G27=人工標注!G27,"是","否")</f>
        <v>是</v>
      </c>
      <c r="I27" s="7" t="str">
        <f>IF(int_ai_sample_v2!H27=人工標注!H27,"是","否")</f>
        <v>是</v>
      </c>
      <c r="J27" s="7" t="str">
        <f>IF(int_ai_sample_v2!I27=人工標注!I27,"是","否")</f>
        <v>是</v>
      </c>
      <c r="K27" s="7" t="str">
        <f>IF(int_ai_sample_v2!J27=人工標注!J27,"是","否")</f>
        <v>是</v>
      </c>
      <c r="L27" s="7" t="str">
        <f>IF(int_ai_sample_v2!K27=人工標注!K27,"是","否")</f>
        <v>是</v>
      </c>
      <c r="M27" s="7" t="str">
        <f>IF(int_ai_sample_v2!L27=人工標注!L27,"是","否")</f>
        <v>是</v>
      </c>
      <c r="N27" s="7" t="str">
        <f>IF(int_ai_sample_v2!M27=人工標注!M27,"是","否")</f>
        <v>是</v>
      </c>
      <c r="O27" s="7" t="str">
        <f>IF(int_ai_sample_v2!N27=人工標注!N27,"是","否")</f>
        <v>是</v>
      </c>
    </row>
    <row r="28" spans="1:15">
      <c r="A28" t="s">
        <v>121</v>
      </c>
      <c r="B28">
        <v>2</v>
      </c>
      <c r="C28" t="s">
        <v>124</v>
      </c>
      <c r="D28" s="7" t="str">
        <f>int_ai_sample_v2!F28</f>
        <v>negative</v>
      </c>
      <c r="E28" s="7" t="str">
        <f>人工標注!F28</f>
        <v>negative</v>
      </c>
      <c r="F28" s="7" t="str">
        <f t="shared" si="0"/>
        <v>是</v>
      </c>
      <c r="G28" s="28">
        <f t="shared" si="1"/>
        <v>0.87</v>
      </c>
      <c r="H28" s="7" t="str">
        <f>IF(int_ai_sample_v2!G28=人工標注!G28,"是","否")</f>
        <v>是</v>
      </c>
      <c r="I28" s="7" t="str">
        <f>IF(int_ai_sample_v2!H28=人工標注!H28,"是","否")</f>
        <v>否</v>
      </c>
      <c r="J28" s="7" t="str">
        <f>IF(int_ai_sample_v2!I28=人工標注!I28,"是","否")</f>
        <v>是</v>
      </c>
      <c r="K28" s="7" t="str">
        <f>IF(int_ai_sample_v2!J28=人工標注!J28,"是","否")</f>
        <v>是</v>
      </c>
      <c r="L28" s="7" t="str">
        <f>IF(int_ai_sample_v2!K28=人工標注!K28,"是","否")</f>
        <v>是</v>
      </c>
      <c r="M28" s="7" t="str">
        <f>IF(int_ai_sample_v2!L28=人工標注!L28,"是","否")</f>
        <v>是</v>
      </c>
      <c r="N28" s="7" t="str">
        <f>IF(int_ai_sample_v2!M28=人工標注!M28,"是","否")</f>
        <v>否</v>
      </c>
      <c r="O28" s="7" t="str">
        <f>IF(int_ai_sample_v2!N28=人工標注!N28,"是","否")</f>
        <v>是</v>
      </c>
    </row>
    <row r="29" spans="1:15">
      <c r="A29" t="s">
        <v>125</v>
      </c>
      <c r="B29">
        <v>5</v>
      </c>
      <c r="C29" t="s">
        <v>128</v>
      </c>
      <c r="D29" s="7" t="str">
        <f>int_ai_sample_v2!F29</f>
        <v>positive</v>
      </c>
      <c r="E29" s="7" t="str">
        <f>人工標注!F29</f>
        <v>positive</v>
      </c>
      <c r="F29" s="7" t="str">
        <f t="shared" si="0"/>
        <v>是</v>
      </c>
      <c r="G29" s="28">
        <f t="shared" si="1"/>
        <v>0.87</v>
      </c>
      <c r="H29" s="7" t="str">
        <f>IF(int_ai_sample_v2!G29=人工標注!G29,"是","否")</f>
        <v>是</v>
      </c>
      <c r="I29" s="7" t="str">
        <f>IF(int_ai_sample_v2!H29=人工標注!H29,"是","否")</f>
        <v>是</v>
      </c>
      <c r="J29" s="7" t="str">
        <f>IF(int_ai_sample_v2!I29=人工標注!I29,"是","否")</f>
        <v>是</v>
      </c>
      <c r="K29" s="7" t="str">
        <f>IF(int_ai_sample_v2!J29=人工標注!J29,"是","否")</f>
        <v>是</v>
      </c>
      <c r="L29" s="7" t="str">
        <f>IF(int_ai_sample_v2!K29=人工標注!K29,"是","否")</f>
        <v>是</v>
      </c>
      <c r="M29" s="7" t="str">
        <f>IF(int_ai_sample_v2!L29=人工標注!L29,"是","否")</f>
        <v>是</v>
      </c>
      <c r="N29" s="7" t="str">
        <f>IF(int_ai_sample_v2!M29=人工標注!M29,"是","否")</f>
        <v>是</v>
      </c>
      <c r="O29" s="7" t="str">
        <f>IF(int_ai_sample_v2!N29=人工標注!N29,"是","否")</f>
        <v>是</v>
      </c>
    </row>
    <row r="30" spans="1:15">
      <c r="A30" t="s">
        <v>129</v>
      </c>
      <c r="B30">
        <v>2</v>
      </c>
      <c r="C30" t="s">
        <v>132</v>
      </c>
      <c r="D30" s="7" t="str">
        <f>int_ai_sample_v2!F30</f>
        <v>negative</v>
      </c>
      <c r="E30" s="7" t="str">
        <f>人工標注!F30</f>
        <v>negative</v>
      </c>
      <c r="F30" s="7" t="str">
        <f t="shared" si="0"/>
        <v>是</v>
      </c>
      <c r="G30" s="28">
        <f t="shared" si="1"/>
        <v>0.87</v>
      </c>
      <c r="H30" s="7" t="str">
        <f>IF(int_ai_sample_v2!G30=人工標注!G30,"是","否")</f>
        <v>是</v>
      </c>
      <c r="I30" s="7" t="str">
        <f>IF(int_ai_sample_v2!H30=人工標注!H30,"是","否")</f>
        <v>是</v>
      </c>
      <c r="J30" s="7" t="str">
        <f>IF(int_ai_sample_v2!I30=人工標注!I30,"是","否")</f>
        <v>否</v>
      </c>
      <c r="K30" s="7" t="str">
        <f>IF(int_ai_sample_v2!J30=人工標注!J30,"是","否")</f>
        <v>是</v>
      </c>
      <c r="L30" s="7" t="str">
        <f>IF(int_ai_sample_v2!K30=人工標注!K30,"是","否")</f>
        <v>否</v>
      </c>
      <c r="M30" s="7" t="str">
        <f>IF(int_ai_sample_v2!L30=人工標注!L30,"是","否")</f>
        <v>是</v>
      </c>
      <c r="N30" s="7" t="str">
        <f>IF(int_ai_sample_v2!M30=人工標注!M30,"是","否")</f>
        <v>是</v>
      </c>
      <c r="O30" s="7" t="str">
        <f>IF(int_ai_sample_v2!N30=人工標注!N30,"是","否")</f>
        <v>是</v>
      </c>
    </row>
    <row r="31" spans="1:15">
      <c r="A31" t="s">
        <v>133</v>
      </c>
      <c r="B31">
        <v>2</v>
      </c>
      <c r="C31" t="s">
        <v>136</v>
      </c>
      <c r="D31" s="7" t="str">
        <f>int_ai_sample_v2!F31</f>
        <v>negative</v>
      </c>
      <c r="E31" s="7" t="str">
        <f>人工標注!F31</f>
        <v>negative</v>
      </c>
      <c r="F31" s="7" t="str">
        <f t="shared" si="0"/>
        <v>是</v>
      </c>
      <c r="G31" s="28">
        <f t="shared" si="1"/>
        <v>0.87</v>
      </c>
      <c r="H31" s="7" t="str">
        <f>IF(int_ai_sample_v2!G31=人工標注!G31,"是","否")</f>
        <v>是</v>
      </c>
      <c r="I31" s="7" t="str">
        <f>IF(int_ai_sample_v2!H31=人工標注!H31,"是","否")</f>
        <v>是</v>
      </c>
      <c r="J31" s="7" t="str">
        <f>IF(int_ai_sample_v2!I31=人工標注!I31,"是","否")</f>
        <v>是</v>
      </c>
      <c r="K31" s="7" t="str">
        <f>IF(int_ai_sample_v2!J31=人工標注!J31,"是","否")</f>
        <v>是</v>
      </c>
      <c r="L31" s="7" t="str">
        <f>IF(int_ai_sample_v2!K31=人工標注!K31,"是","否")</f>
        <v>是</v>
      </c>
      <c r="M31" s="7" t="str">
        <f>IF(int_ai_sample_v2!L31=人工標注!L31,"是","否")</f>
        <v>否</v>
      </c>
      <c r="N31" s="7" t="str">
        <f>IF(int_ai_sample_v2!M31=人工標注!M31,"是","否")</f>
        <v>是</v>
      </c>
      <c r="O31" s="7" t="str">
        <f>IF(int_ai_sample_v2!N31=人工標注!N31,"是","否")</f>
        <v>是</v>
      </c>
    </row>
    <row r="32" spans="1:15">
      <c r="A32" t="s">
        <v>137</v>
      </c>
      <c r="B32">
        <v>5</v>
      </c>
      <c r="C32" t="s">
        <v>140</v>
      </c>
      <c r="D32" s="7" t="str">
        <f>int_ai_sample_v2!F32</f>
        <v>positive</v>
      </c>
      <c r="E32" s="7" t="str">
        <f>人工標注!F32</f>
        <v>positive</v>
      </c>
      <c r="F32" s="7" t="str">
        <f t="shared" si="0"/>
        <v>是</v>
      </c>
      <c r="G32" s="28">
        <f t="shared" si="1"/>
        <v>0.87</v>
      </c>
      <c r="H32" s="7" t="str">
        <f>IF(int_ai_sample_v2!G32=人工標注!G32,"是","否")</f>
        <v>是</v>
      </c>
      <c r="I32" s="7" t="str">
        <f>IF(int_ai_sample_v2!H32=人工標注!H32,"是","否")</f>
        <v>是</v>
      </c>
      <c r="J32" s="7" t="str">
        <f>IF(int_ai_sample_v2!I32=人工標注!I32,"是","否")</f>
        <v>是</v>
      </c>
      <c r="K32" s="7" t="str">
        <f>IF(int_ai_sample_v2!J32=人工標注!J32,"是","否")</f>
        <v>是</v>
      </c>
      <c r="L32" s="7" t="str">
        <f>IF(int_ai_sample_v2!K32=人工標注!K32,"是","否")</f>
        <v>是</v>
      </c>
      <c r="M32" s="7" t="str">
        <f>IF(int_ai_sample_v2!L32=人工標注!L32,"是","否")</f>
        <v>是</v>
      </c>
      <c r="N32" s="7" t="str">
        <f>IF(int_ai_sample_v2!M32=人工標注!M32,"是","否")</f>
        <v>是</v>
      </c>
      <c r="O32" s="7" t="str">
        <f>IF(int_ai_sample_v2!N32=人工標注!N32,"是","否")</f>
        <v>是</v>
      </c>
    </row>
    <row r="33" spans="1:15">
      <c r="A33" t="s">
        <v>141</v>
      </c>
      <c r="B33">
        <v>5</v>
      </c>
      <c r="C33" t="s">
        <v>144</v>
      </c>
      <c r="D33" s="7" t="str">
        <f>int_ai_sample_v2!F33</f>
        <v>positive</v>
      </c>
      <c r="E33" s="7" t="str">
        <f>人工標注!F33</f>
        <v>positive</v>
      </c>
      <c r="F33" s="7" t="str">
        <f t="shared" si="0"/>
        <v>是</v>
      </c>
      <c r="G33" s="28">
        <f t="shared" si="1"/>
        <v>0.87</v>
      </c>
      <c r="H33" s="7" t="str">
        <f>IF(int_ai_sample_v2!G33=人工標注!G33,"是","否")</f>
        <v>是</v>
      </c>
      <c r="I33" s="7" t="str">
        <f>IF(int_ai_sample_v2!H33=人工標注!H33,"是","否")</f>
        <v>是</v>
      </c>
      <c r="J33" s="7" t="str">
        <f>IF(int_ai_sample_v2!I33=人工標注!I33,"是","否")</f>
        <v>是</v>
      </c>
      <c r="K33" s="7" t="str">
        <f>IF(int_ai_sample_v2!J33=人工標注!J33,"是","否")</f>
        <v>是</v>
      </c>
      <c r="L33" s="7" t="str">
        <f>IF(int_ai_sample_v2!K33=人工標注!K33,"是","否")</f>
        <v>是</v>
      </c>
      <c r="M33" s="7" t="str">
        <f>IF(int_ai_sample_v2!L33=人工標注!L33,"是","否")</f>
        <v>是</v>
      </c>
      <c r="N33" s="7" t="str">
        <f>IF(int_ai_sample_v2!M33=人工標注!M33,"是","否")</f>
        <v>是</v>
      </c>
      <c r="O33" s="7" t="str">
        <f>IF(int_ai_sample_v2!N33=人工標注!N33,"是","否")</f>
        <v>是</v>
      </c>
    </row>
    <row r="34" spans="1:15">
      <c r="A34" t="s">
        <v>145</v>
      </c>
      <c r="B34">
        <v>1</v>
      </c>
      <c r="C34" t="s">
        <v>148</v>
      </c>
      <c r="D34" s="7" t="str">
        <f>int_ai_sample_v2!F34</f>
        <v>negative</v>
      </c>
      <c r="E34" s="7" t="str">
        <f>人工標注!F34</f>
        <v>negative</v>
      </c>
      <c r="F34" s="7" t="str">
        <f t="shared" si="0"/>
        <v>是</v>
      </c>
      <c r="G34" s="28">
        <f t="shared" si="1"/>
        <v>0.87</v>
      </c>
      <c r="H34" s="7" t="str">
        <f>IF(int_ai_sample_v2!G34=人工標注!G34,"是","否")</f>
        <v>是</v>
      </c>
      <c r="I34" s="7" t="str">
        <f>IF(int_ai_sample_v2!H34=人工標注!H34,"是","否")</f>
        <v>是</v>
      </c>
      <c r="J34" s="7" t="str">
        <f>IF(int_ai_sample_v2!I34=人工標注!I34,"是","否")</f>
        <v>是</v>
      </c>
      <c r="K34" s="7" t="str">
        <f>IF(int_ai_sample_v2!J34=人工標注!J34,"是","否")</f>
        <v>是</v>
      </c>
      <c r="L34" s="7" t="str">
        <f>IF(int_ai_sample_v2!K34=人工標注!K34,"是","否")</f>
        <v>是</v>
      </c>
      <c r="M34" s="7" t="str">
        <f>IF(int_ai_sample_v2!L34=人工標注!L34,"是","否")</f>
        <v>是</v>
      </c>
      <c r="N34" s="7" t="str">
        <f>IF(int_ai_sample_v2!M34=人工標注!M34,"是","否")</f>
        <v>是</v>
      </c>
      <c r="O34" s="7" t="str">
        <f>IF(int_ai_sample_v2!N34=人工標注!N34,"是","否")</f>
        <v>是</v>
      </c>
    </row>
    <row r="35" spans="1:15">
      <c r="A35" t="s">
        <v>149</v>
      </c>
      <c r="B35">
        <v>5</v>
      </c>
      <c r="C35" t="s">
        <v>152</v>
      </c>
      <c r="D35" s="7" t="str">
        <f>int_ai_sample_v2!F35</f>
        <v>positive</v>
      </c>
      <c r="E35" s="7" t="str">
        <f>人工標注!F35</f>
        <v>positive</v>
      </c>
      <c r="F35" s="7" t="str">
        <f t="shared" si="0"/>
        <v>是</v>
      </c>
      <c r="G35" s="28">
        <f t="shared" si="1"/>
        <v>0.87</v>
      </c>
      <c r="H35" s="7" t="str">
        <f>IF(int_ai_sample_v2!G35=人工標注!G35,"是","否")</f>
        <v>是</v>
      </c>
      <c r="I35" s="7" t="str">
        <f>IF(int_ai_sample_v2!H35=人工標注!H35,"是","否")</f>
        <v>是</v>
      </c>
      <c r="J35" s="7" t="str">
        <f>IF(int_ai_sample_v2!I35=人工標注!I35,"是","否")</f>
        <v>是</v>
      </c>
      <c r="K35" s="7" t="str">
        <f>IF(int_ai_sample_v2!J35=人工標注!J35,"是","否")</f>
        <v>是</v>
      </c>
      <c r="L35" s="7" t="str">
        <f>IF(int_ai_sample_v2!K35=人工標注!K35,"是","否")</f>
        <v>是</v>
      </c>
      <c r="M35" s="7" t="str">
        <f>IF(int_ai_sample_v2!L35=人工標注!L35,"是","否")</f>
        <v>是</v>
      </c>
      <c r="N35" s="7" t="str">
        <f>IF(int_ai_sample_v2!M35=人工標注!M35,"是","否")</f>
        <v>是</v>
      </c>
      <c r="O35" s="7" t="str">
        <f>IF(int_ai_sample_v2!N35=人工標注!N35,"是","否")</f>
        <v>是</v>
      </c>
    </row>
    <row r="36" spans="1:15">
      <c r="A36" t="s">
        <v>153</v>
      </c>
      <c r="B36">
        <v>5</v>
      </c>
      <c r="C36" t="s">
        <v>156</v>
      </c>
      <c r="D36" s="7" t="str">
        <f>int_ai_sample_v2!F36</f>
        <v>positive</v>
      </c>
      <c r="E36" s="7" t="str">
        <f>人工標注!F36</f>
        <v>positive</v>
      </c>
      <c r="F36" s="7" t="str">
        <f t="shared" si="0"/>
        <v>是</v>
      </c>
      <c r="G36" s="28">
        <f t="shared" si="1"/>
        <v>0.87</v>
      </c>
      <c r="H36" s="7" t="str">
        <f>IF(int_ai_sample_v2!G36=人工標注!G36,"是","否")</f>
        <v>是</v>
      </c>
      <c r="I36" s="7" t="str">
        <f>IF(int_ai_sample_v2!H36=人工標注!H36,"是","否")</f>
        <v>是</v>
      </c>
      <c r="J36" s="7" t="str">
        <f>IF(int_ai_sample_v2!I36=人工標注!I36,"是","否")</f>
        <v>是</v>
      </c>
      <c r="K36" s="7" t="str">
        <f>IF(int_ai_sample_v2!J36=人工標注!J36,"是","否")</f>
        <v>是</v>
      </c>
      <c r="L36" s="7" t="str">
        <f>IF(int_ai_sample_v2!K36=人工標注!K36,"是","否")</f>
        <v>是</v>
      </c>
      <c r="M36" s="7" t="str">
        <f>IF(int_ai_sample_v2!L36=人工標注!L36,"是","否")</f>
        <v>是</v>
      </c>
      <c r="N36" s="7" t="str">
        <f>IF(int_ai_sample_v2!M36=人工標注!M36,"是","否")</f>
        <v>是</v>
      </c>
      <c r="O36" s="7" t="str">
        <f>IF(int_ai_sample_v2!N36=人工標注!N36,"是","否")</f>
        <v>是</v>
      </c>
    </row>
    <row r="37" spans="1:15">
      <c r="A37" t="s">
        <v>157</v>
      </c>
      <c r="B37">
        <v>4</v>
      </c>
      <c r="C37" t="s">
        <v>160</v>
      </c>
      <c r="D37" s="7" t="str">
        <f>int_ai_sample_v2!F37</f>
        <v>positive</v>
      </c>
      <c r="E37" s="7" t="str">
        <f>人工標注!F37</f>
        <v>positive</v>
      </c>
      <c r="F37" s="7" t="str">
        <f t="shared" si="0"/>
        <v>是</v>
      </c>
      <c r="G37" s="28">
        <f t="shared" si="1"/>
        <v>0.87</v>
      </c>
      <c r="H37" s="7" t="str">
        <f>IF(int_ai_sample_v2!G37=人工標注!G37,"是","否")</f>
        <v>是</v>
      </c>
      <c r="I37" s="7" t="str">
        <f>IF(int_ai_sample_v2!H37=人工標注!H37,"是","否")</f>
        <v>是</v>
      </c>
      <c r="J37" s="7" t="str">
        <f>IF(int_ai_sample_v2!I37=人工標注!I37,"是","否")</f>
        <v>是</v>
      </c>
      <c r="K37" s="7" t="str">
        <f>IF(int_ai_sample_v2!J37=人工標注!J37,"是","否")</f>
        <v>是</v>
      </c>
      <c r="L37" s="7" t="str">
        <f>IF(int_ai_sample_v2!K37=人工標注!K37,"是","否")</f>
        <v>是</v>
      </c>
      <c r="M37" s="7" t="str">
        <f>IF(int_ai_sample_v2!L37=人工標注!L37,"是","否")</f>
        <v>是</v>
      </c>
      <c r="N37" s="7" t="str">
        <f>IF(int_ai_sample_v2!M37=人工標注!M37,"是","否")</f>
        <v>是</v>
      </c>
      <c r="O37" s="7" t="str">
        <f>IF(int_ai_sample_v2!N37=人工標注!N37,"是","否")</f>
        <v>是</v>
      </c>
    </row>
    <row r="38" spans="1:15">
      <c r="A38" t="s">
        <v>161</v>
      </c>
      <c r="B38">
        <v>4</v>
      </c>
      <c r="C38" t="s">
        <v>164</v>
      </c>
      <c r="D38" s="7" t="str">
        <f>int_ai_sample_v2!F38</f>
        <v>negative</v>
      </c>
      <c r="E38" s="7" t="str">
        <f>人工標注!F38</f>
        <v>negative</v>
      </c>
      <c r="F38" s="7" t="str">
        <f t="shared" si="0"/>
        <v>是</v>
      </c>
      <c r="G38" s="28">
        <f t="shared" si="1"/>
        <v>0.87</v>
      </c>
      <c r="H38" s="7" t="str">
        <f>IF(int_ai_sample_v2!G38=人工標注!G38,"是","否")</f>
        <v>是</v>
      </c>
      <c r="I38" s="7" t="str">
        <f>IF(int_ai_sample_v2!H38=人工標注!H38,"是","否")</f>
        <v>是</v>
      </c>
      <c r="J38" s="7" t="str">
        <f>IF(int_ai_sample_v2!I38=人工標注!I38,"是","否")</f>
        <v>否</v>
      </c>
      <c r="K38" s="7" t="str">
        <f>IF(int_ai_sample_v2!J38=人工標注!J38,"是","否")</f>
        <v>否</v>
      </c>
      <c r="L38" s="7" t="str">
        <f>IF(int_ai_sample_v2!K38=人工標注!K38,"是","否")</f>
        <v>是</v>
      </c>
      <c r="M38" s="7" t="str">
        <f>IF(int_ai_sample_v2!L38=人工標注!L38,"是","否")</f>
        <v>是</v>
      </c>
      <c r="N38" s="7" t="str">
        <f>IF(int_ai_sample_v2!M38=人工標注!M38,"是","否")</f>
        <v>是</v>
      </c>
      <c r="O38" s="7" t="str">
        <f>IF(int_ai_sample_v2!N38=人工標注!N38,"是","否")</f>
        <v>是</v>
      </c>
    </row>
    <row r="39" spans="1:15">
      <c r="A39" t="s">
        <v>165</v>
      </c>
      <c r="B39">
        <v>4</v>
      </c>
      <c r="C39" t="s">
        <v>168</v>
      </c>
      <c r="D39" s="7" t="str">
        <f>int_ai_sample_v2!F39</f>
        <v>mixed</v>
      </c>
      <c r="E39" s="7" t="str">
        <f>人工標注!F39</f>
        <v>mixed</v>
      </c>
      <c r="F39" s="7" t="str">
        <f t="shared" si="0"/>
        <v>是</v>
      </c>
      <c r="G39" s="28">
        <f t="shared" si="1"/>
        <v>0.87</v>
      </c>
      <c r="H39" s="7" t="str">
        <f>IF(int_ai_sample_v2!G39=人工標注!G39,"是","否")</f>
        <v>是</v>
      </c>
      <c r="I39" s="7" t="str">
        <f>IF(int_ai_sample_v2!H39=人工標注!H39,"是","否")</f>
        <v>是</v>
      </c>
      <c r="J39" s="7" t="str">
        <f>IF(int_ai_sample_v2!I39=人工標注!I39,"是","否")</f>
        <v>是</v>
      </c>
      <c r="K39" s="7" t="str">
        <f>IF(int_ai_sample_v2!J39=人工標注!J39,"是","否")</f>
        <v>是</v>
      </c>
      <c r="L39" s="7" t="str">
        <f>IF(int_ai_sample_v2!K39=人工標注!K39,"是","否")</f>
        <v>是</v>
      </c>
      <c r="M39" s="7" t="str">
        <f>IF(int_ai_sample_v2!L39=人工標注!L39,"是","否")</f>
        <v>是</v>
      </c>
      <c r="N39" s="7" t="str">
        <f>IF(int_ai_sample_v2!M39=人工標注!M39,"是","否")</f>
        <v>是</v>
      </c>
      <c r="O39" s="7" t="str">
        <f>IF(int_ai_sample_v2!N39=人工標注!N39,"是","否")</f>
        <v>是</v>
      </c>
    </row>
    <row r="40" spans="1:15">
      <c r="A40" t="s">
        <v>170</v>
      </c>
      <c r="B40">
        <v>5</v>
      </c>
      <c r="C40" t="s">
        <v>173</v>
      </c>
      <c r="D40" s="7" t="str">
        <f>int_ai_sample_v2!F40</f>
        <v>positive</v>
      </c>
      <c r="E40" s="7" t="str">
        <f>人工標注!F40</f>
        <v>positive</v>
      </c>
      <c r="F40" s="7" t="str">
        <f t="shared" si="0"/>
        <v>是</v>
      </c>
      <c r="G40" s="28">
        <f t="shared" si="1"/>
        <v>0.87</v>
      </c>
      <c r="H40" s="7" t="str">
        <f>IF(int_ai_sample_v2!G40=人工標注!G40,"是","否")</f>
        <v>是</v>
      </c>
      <c r="I40" s="7" t="str">
        <f>IF(int_ai_sample_v2!H40=人工標注!H40,"是","否")</f>
        <v>是</v>
      </c>
      <c r="J40" s="7" t="str">
        <f>IF(int_ai_sample_v2!I40=人工標注!I40,"是","否")</f>
        <v>是</v>
      </c>
      <c r="K40" s="7" t="str">
        <f>IF(int_ai_sample_v2!J40=人工標注!J40,"是","否")</f>
        <v>是</v>
      </c>
      <c r="L40" s="7" t="str">
        <f>IF(int_ai_sample_v2!K40=人工標注!K40,"是","否")</f>
        <v>是</v>
      </c>
      <c r="M40" s="7" t="str">
        <f>IF(int_ai_sample_v2!L40=人工標注!L40,"是","否")</f>
        <v>是</v>
      </c>
      <c r="N40" s="7" t="str">
        <f>IF(int_ai_sample_v2!M40=人工標注!M40,"是","否")</f>
        <v>是</v>
      </c>
      <c r="O40" s="7" t="str">
        <f>IF(int_ai_sample_v2!N40=人工標注!N40,"是","否")</f>
        <v>是</v>
      </c>
    </row>
    <row r="41" spans="1:15">
      <c r="A41" t="s">
        <v>174</v>
      </c>
      <c r="B41">
        <v>5</v>
      </c>
      <c r="C41" t="s">
        <v>177</v>
      </c>
      <c r="D41" s="7" t="str">
        <f>int_ai_sample_v2!F41</f>
        <v>positive</v>
      </c>
      <c r="E41" s="7" t="str">
        <f>人工標注!F41</f>
        <v>positive</v>
      </c>
      <c r="F41" s="7" t="str">
        <f t="shared" si="0"/>
        <v>是</v>
      </c>
      <c r="G41" s="28">
        <f t="shared" si="1"/>
        <v>0.87</v>
      </c>
      <c r="H41" s="7" t="str">
        <f>IF(int_ai_sample_v2!G41=人工標注!G41,"是","否")</f>
        <v>是</v>
      </c>
      <c r="I41" s="7" t="str">
        <f>IF(int_ai_sample_v2!H41=人工標注!H41,"是","否")</f>
        <v>是</v>
      </c>
      <c r="J41" s="7" t="str">
        <f>IF(int_ai_sample_v2!I41=人工標注!I41,"是","否")</f>
        <v>是</v>
      </c>
      <c r="K41" s="7" t="str">
        <f>IF(int_ai_sample_v2!J41=人工標注!J41,"是","否")</f>
        <v>是</v>
      </c>
      <c r="L41" s="7" t="str">
        <f>IF(int_ai_sample_v2!K41=人工標注!K41,"是","否")</f>
        <v>是</v>
      </c>
      <c r="M41" s="7" t="str">
        <f>IF(int_ai_sample_v2!L41=人工標注!L41,"是","否")</f>
        <v>是</v>
      </c>
      <c r="N41" s="7" t="str">
        <f>IF(int_ai_sample_v2!M41=人工標注!M41,"是","否")</f>
        <v>是</v>
      </c>
      <c r="O41" s="7" t="str">
        <f>IF(int_ai_sample_v2!N41=人工標注!N41,"是","否")</f>
        <v>是</v>
      </c>
    </row>
    <row r="42" spans="1:15">
      <c r="A42" t="s">
        <v>178</v>
      </c>
      <c r="B42">
        <v>5</v>
      </c>
      <c r="C42" t="s">
        <v>180</v>
      </c>
      <c r="D42" s="7" t="str">
        <f>int_ai_sample_v2!F42</f>
        <v>positive</v>
      </c>
      <c r="E42" s="7" t="str">
        <f>人工標注!F42</f>
        <v>neutral</v>
      </c>
      <c r="F42" s="7" t="str">
        <f t="shared" si="0"/>
        <v>否</v>
      </c>
      <c r="G42" s="28">
        <f t="shared" si="1"/>
        <v>0.87</v>
      </c>
      <c r="H42" s="7" t="str">
        <f>IF(int_ai_sample_v2!G42=人工標注!G42,"是","否")</f>
        <v>是</v>
      </c>
      <c r="I42" s="7" t="str">
        <f>IF(int_ai_sample_v2!H42=人工標注!H42,"是","否")</f>
        <v>是</v>
      </c>
      <c r="J42" s="7" t="str">
        <f>IF(int_ai_sample_v2!I42=人工標注!I42,"是","否")</f>
        <v>是</v>
      </c>
      <c r="K42" s="7" t="str">
        <f>IF(int_ai_sample_v2!J42=人工標注!J42,"是","否")</f>
        <v>是</v>
      </c>
      <c r="L42" s="7" t="str">
        <f>IF(int_ai_sample_v2!K42=人工標注!K42,"是","否")</f>
        <v>是</v>
      </c>
      <c r="M42" s="7" t="str">
        <f>IF(int_ai_sample_v2!L42=人工標注!L42,"是","否")</f>
        <v>是</v>
      </c>
      <c r="N42" s="7" t="str">
        <f>IF(int_ai_sample_v2!M42=人工標注!M42,"是","否")</f>
        <v>是</v>
      </c>
      <c r="O42" s="7" t="str">
        <f>IF(int_ai_sample_v2!N42=人工標注!N42,"是","否")</f>
        <v>是</v>
      </c>
    </row>
    <row r="43" spans="1:15">
      <c r="A43" t="s">
        <v>181</v>
      </c>
      <c r="B43">
        <v>3</v>
      </c>
      <c r="C43" t="s">
        <v>184</v>
      </c>
      <c r="D43" s="7" t="str">
        <f>int_ai_sample_v2!F43</f>
        <v>negative</v>
      </c>
      <c r="E43" s="7" t="str">
        <f>人工標注!F43</f>
        <v>negative</v>
      </c>
      <c r="F43" s="7" t="str">
        <f t="shared" si="0"/>
        <v>是</v>
      </c>
      <c r="G43" s="28">
        <f t="shared" si="1"/>
        <v>0.87</v>
      </c>
      <c r="H43" s="7" t="str">
        <f>IF(int_ai_sample_v2!G43=人工標注!G43,"是","否")</f>
        <v>是</v>
      </c>
      <c r="I43" s="7" t="str">
        <f>IF(int_ai_sample_v2!H43=人工標注!H43,"是","否")</f>
        <v>是</v>
      </c>
      <c r="J43" s="7" t="str">
        <f>IF(int_ai_sample_v2!I43=人工標注!I43,"是","否")</f>
        <v>是</v>
      </c>
      <c r="K43" s="7" t="str">
        <f>IF(int_ai_sample_v2!J43=人工標注!J43,"是","否")</f>
        <v>是</v>
      </c>
      <c r="L43" s="7" t="str">
        <f>IF(int_ai_sample_v2!K43=人工標注!K43,"是","否")</f>
        <v>是</v>
      </c>
      <c r="M43" s="7" t="str">
        <f>IF(int_ai_sample_v2!L43=人工標注!L43,"是","否")</f>
        <v>是</v>
      </c>
      <c r="N43" s="7" t="str">
        <f>IF(int_ai_sample_v2!M43=人工標注!M43,"是","否")</f>
        <v>是</v>
      </c>
      <c r="O43" s="7" t="str">
        <f>IF(int_ai_sample_v2!N43=人工標注!N43,"是","否")</f>
        <v>是</v>
      </c>
    </row>
    <row r="44" spans="1:15">
      <c r="A44" t="s">
        <v>185</v>
      </c>
      <c r="B44">
        <v>3</v>
      </c>
      <c r="C44" t="s">
        <v>188</v>
      </c>
      <c r="D44" s="7" t="str">
        <f>int_ai_sample_v2!F44</f>
        <v>positive</v>
      </c>
      <c r="E44" s="7" t="str">
        <f>人工標注!F44</f>
        <v>positive</v>
      </c>
      <c r="F44" s="7" t="str">
        <f t="shared" si="0"/>
        <v>是</v>
      </c>
      <c r="G44" s="28">
        <f t="shared" si="1"/>
        <v>0.87</v>
      </c>
      <c r="H44" s="7" t="str">
        <f>IF(int_ai_sample_v2!G44=人工標注!G44,"是","否")</f>
        <v>是</v>
      </c>
      <c r="I44" s="7" t="str">
        <f>IF(int_ai_sample_v2!H44=人工標注!H44,"是","否")</f>
        <v>是</v>
      </c>
      <c r="J44" s="7" t="str">
        <f>IF(int_ai_sample_v2!I44=人工標注!I44,"是","否")</f>
        <v>是</v>
      </c>
      <c r="K44" s="7" t="str">
        <f>IF(int_ai_sample_v2!J44=人工標注!J44,"是","否")</f>
        <v>是</v>
      </c>
      <c r="L44" s="7" t="str">
        <f>IF(int_ai_sample_v2!K44=人工標注!K44,"是","否")</f>
        <v>是</v>
      </c>
      <c r="M44" s="7" t="str">
        <f>IF(int_ai_sample_v2!L44=人工標注!L44,"是","否")</f>
        <v>是</v>
      </c>
      <c r="N44" s="7" t="str">
        <f>IF(int_ai_sample_v2!M44=人工標注!M44,"是","否")</f>
        <v>是</v>
      </c>
      <c r="O44" s="7" t="str">
        <f>IF(int_ai_sample_v2!N44=人工標注!N44,"是","否")</f>
        <v>是</v>
      </c>
    </row>
    <row r="45" spans="1:15">
      <c r="A45" t="s">
        <v>189</v>
      </c>
      <c r="B45">
        <v>3</v>
      </c>
      <c r="C45" t="s">
        <v>192</v>
      </c>
      <c r="D45" s="7" t="str">
        <f>int_ai_sample_v2!F45</f>
        <v>positive</v>
      </c>
      <c r="E45" s="7" t="str">
        <f>人工標注!F45</f>
        <v>positive</v>
      </c>
      <c r="F45" s="7" t="str">
        <f t="shared" si="0"/>
        <v>是</v>
      </c>
      <c r="G45" s="28">
        <f t="shared" si="1"/>
        <v>0.87</v>
      </c>
      <c r="H45" s="7" t="str">
        <f>IF(int_ai_sample_v2!G45=人工標注!G45,"是","否")</f>
        <v>是</v>
      </c>
      <c r="I45" s="7" t="str">
        <f>IF(int_ai_sample_v2!H45=人工標注!H45,"是","否")</f>
        <v>是</v>
      </c>
      <c r="J45" s="7" t="str">
        <f>IF(int_ai_sample_v2!I45=人工標注!I45,"是","否")</f>
        <v>是</v>
      </c>
      <c r="K45" s="7" t="str">
        <f>IF(int_ai_sample_v2!J45=人工標注!J45,"是","否")</f>
        <v>是</v>
      </c>
      <c r="L45" s="7" t="str">
        <f>IF(int_ai_sample_v2!K45=人工標注!K45,"是","否")</f>
        <v>是</v>
      </c>
      <c r="M45" s="7" t="str">
        <f>IF(int_ai_sample_v2!L45=人工標注!L45,"是","否")</f>
        <v>是</v>
      </c>
      <c r="N45" s="7" t="str">
        <f>IF(int_ai_sample_v2!M45=人工標注!M45,"是","否")</f>
        <v>是</v>
      </c>
      <c r="O45" s="7" t="str">
        <f>IF(int_ai_sample_v2!N45=人工標注!N45,"是","否")</f>
        <v>是</v>
      </c>
    </row>
    <row r="46" spans="1:15">
      <c r="A46" t="s">
        <v>193</v>
      </c>
      <c r="B46">
        <v>3</v>
      </c>
      <c r="C46" t="s">
        <v>196</v>
      </c>
      <c r="D46" s="7" t="str">
        <f>int_ai_sample_v2!F46</f>
        <v>negative</v>
      </c>
      <c r="E46" s="7" t="str">
        <f>人工標注!F46</f>
        <v>negative</v>
      </c>
      <c r="F46" s="7" t="str">
        <f t="shared" si="0"/>
        <v>是</v>
      </c>
      <c r="G46" s="28">
        <f t="shared" si="1"/>
        <v>0.87</v>
      </c>
      <c r="H46" s="7" t="str">
        <f>IF(int_ai_sample_v2!G46=人工標注!G46,"是","否")</f>
        <v>是</v>
      </c>
      <c r="I46" s="7" t="str">
        <f>IF(int_ai_sample_v2!H46=人工標注!H46,"是","否")</f>
        <v>是</v>
      </c>
      <c r="J46" s="7" t="str">
        <f>IF(int_ai_sample_v2!I46=人工標注!I46,"是","否")</f>
        <v>是</v>
      </c>
      <c r="K46" s="7" t="str">
        <f>IF(int_ai_sample_v2!J46=人工標注!J46,"是","否")</f>
        <v>是</v>
      </c>
      <c r="L46" s="7" t="str">
        <f>IF(int_ai_sample_v2!K46=人工標注!K46,"是","否")</f>
        <v>是</v>
      </c>
      <c r="M46" s="7" t="str">
        <f>IF(int_ai_sample_v2!L46=人工標注!L46,"是","否")</f>
        <v>是</v>
      </c>
      <c r="N46" s="7" t="str">
        <f>IF(int_ai_sample_v2!M46=人工標注!M46,"是","否")</f>
        <v>是</v>
      </c>
      <c r="O46" s="7" t="str">
        <f>IF(int_ai_sample_v2!N46=人工標注!N46,"是","否")</f>
        <v>是</v>
      </c>
    </row>
    <row r="47" spans="1:15">
      <c r="A47" t="s">
        <v>197</v>
      </c>
      <c r="B47">
        <v>1</v>
      </c>
      <c r="C47" t="s">
        <v>200</v>
      </c>
      <c r="D47" s="7" t="str">
        <f>int_ai_sample_v2!F47</f>
        <v>neutral</v>
      </c>
      <c r="E47" s="7" t="str">
        <f>人工標注!F47</f>
        <v>negative</v>
      </c>
      <c r="F47" s="7" t="str">
        <f t="shared" si="0"/>
        <v>否</v>
      </c>
      <c r="G47" s="28">
        <f t="shared" si="1"/>
        <v>0.87</v>
      </c>
      <c r="H47" s="7" t="str">
        <f>IF(int_ai_sample_v2!G47=人工標注!G47,"是","否")</f>
        <v>是</v>
      </c>
      <c r="I47" s="7" t="str">
        <f>IF(int_ai_sample_v2!H47=人工標注!H47,"是","否")</f>
        <v>是</v>
      </c>
      <c r="J47" s="7" t="str">
        <f>IF(int_ai_sample_v2!I47=人工標注!I47,"是","否")</f>
        <v>是</v>
      </c>
      <c r="K47" s="7" t="str">
        <f>IF(int_ai_sample_v2!J47=人工標注!J47,"是","否")</f>
        <v>是</v>
      </c>
      <c r="L47" s="7" t="str">
        <f>IF(int_ai_sample_v2!K47=人工標注!K47,"是","否")</f>
        <v>是</v>
      </c>
      <c r="M47" s="7" t="str">
        <f>IF(int_ai_sample_v2!L47=人工標注!L47,"是","否")</f>
        <v>是</v>
      </c>
      <c r="N47" s="7" t="str">
        <f>IF(int_ai_sample_v2!M47=人工標注!M47,"是","否")</f>
        <v>是</v>
      </c>
      <c r="O47" s="7" t="str">
        <f>IF(int_ai_sample_v2!N47=人工標注!N47,"是","否")</f>
        <v>是</v>
      </c>
    </row>
    <row r="48" spans="1:15">
      <c r="A48" t="s">
        <v>201</v>
      </c>
      <c r="B48">
        <v>5</v>
      </c>
      <c r="C48" t="s">
        <v>204</v>
      </c>
      <c r="D48" s="7" t="str">
        <f>int_ai_sample_v2!F48</f>
        <v>positive</v>
      </c>
      <c r="E48" s="7" t="str">
        <f>人工標注!F48</f>
        <v>positive</v>
      </c>
      <c r="F48" s="7" t="str">
        <f t="shared" si="0"/>
        <v>是</v>
      </c>
      <c r="G48" s="28">
        <f t="shared" si="1"/>
        <v>0.87</v>
      </c>
      <c r="H48" s="7" t="str">
        <f>IF(int_ai_sample_v2!G48=人工標注!G48,"是","否")</f>
        <v>是</v>
      </c>
      <c r="I48" s="7" t="str">
        <f>IF(int_ai_sample_v2!H48=人工標注!H48,"是","否")</f>
        <v>是</v>
      </c>
      <c r="J48" s="7" t="str">
        <f>IF(int_ai_sample_v2!I48=人工標注!I48,"是","否")</f>
        <v>是</v>
      </c>
      <c r="K48" s="7" t="str">
        <f>IF(int_ai_sample_v2!J48=人工標注!J48,"是","否")</f>
        <v>是</v>
      </c>
      <c r="L48" s="7" t="str">
        <f>IF(int_ai_sample_v2!K48=人工標注!K48,"是","否")</f>
        <v>是</v>
      </c>
      <c r="M48" s="7" t="str">
        <f>IF(int_ai_sample_v2!L48=人工標注!L48,"是","否")</f>
        <v>是</v>
      </c>
      <c r="N48" s="7" t="str">
        <f>IF(int_ai_sample_v2!M48=人工標注!M48,"是","否")</f>
        <v>是</v>
      </c>
      <c r="O48" s="7" t="str">
        <f>IF(int_ai_sample_v2!N48=人工標注!N48,"是","否")</f>
        <v>是</v>
      </c>
    </row>
    <row r="49" spans="1:15">
      <c r="A49" t="s">
        <v>205</v>
      </c>
      <c r="B49">
        <v>1</v>
      </c>
      <c r="C49" t="s">
        <v>208</v>
      </c>
      <c r="D49" s="7" t="str">
        <f>int_ai_sample_v2!F49</f>
        <v>negative</v>
      </c>
      <c r="E49" s="7" t="str">
        <f>人工標注!F49</f>
        <v>negative</v>
      </c>
      <c r="F49" s="7" t="str">
        <f t="shared" si="0"/>
        <v>是</v>
      </c>
      <c r="G49" s="28">
        <f t="shared" si="1"/>
        <v>0.87</v>
      </c>
      <c r="H49" s="7" t="str">
        <f>IF(int_ai_sample_v2!G49=人工標注!G49,"是","否")</f>
        <v>是</v>
      </c>
      <c r="I49" s="7" t="str">
        <f>IF(int_ai_sample_v2!H49=人工標注!H49,"是","否")</f>
        <v>是</v>
      </c>
      <c r="J49" s="7" t="str">
        <f>IF(int_ai_sample_v2!I49=人工標注!I49,"是","否")</f>
        <v>是</v>
      </c>
      <c r="K49" s="7" t="str">
        <f>IF(int_ai_sample_v2!J49=人工標注!J49,"是","否")</f>
        <v>是</v>
      </c>
      <c r="L49" s="7" t="str">
        <f>IF(int_ai_sample_v2!K49=人工標注!K49,"是","否")</f>
        <v>是</v>
      </c>
      <c r="M49" s="7" t="str">
        <f>IF(int_ai_sample_v2!L49=人工標注!L49,"是","否")</f>
        <v>是</v>
      </c>
      <c r="N49" s="7" t="str">
        <f>IF(int_ai_sample_v2!M49=人工標注!M49,"是","否")</f>
        <v>否</v>
      </c>
      <c r="O49" s="7" t="str">
        <f>IF(int_ai_sample_v2!N49=人工標注!N49,"是","否")</f>
        <v>是</v>
      </c>
    </row>
    <row r="50" spans="1:15">
      <c r="A50" t="s">
        <v>209</v>
      </c>
      <c r="B50">
        <v>5</v>
      </c>
      <c r="C50" t="s">
        <v>212</v>
      </c>
      <c r="D50" s="7" t="str">
        <f>int_ai_sample_v2!F50</f>
        <v>positive</v>
      </c>
      <c r="E50" s="7" t="str">
        <f>人工標注!F50</f>
        <v>positive</v>
      </c>
      <c r="F50" s="7" t="str">
        <f t="shared" si="0"/>
        <v>是</v>
      </c>
      <c r="G50" s="28">
        <f t="shared" si="1"/>
        <v>0.87</v>
      </c>
      <c r="H50" s="7" t="str">
        <f>IF(int_ai_sample_v2!G50=人工標注!G50,"是","否")</f>
        <v>是</v>
      </c>
      <c r="I50" s="7" t="str">
        <f>IF(int_ai_sample_v2!H50=人工標注!H50,"是","否")</f>
        <v>是</v>
      </c>
      <c r="J50" s="7" t="str">
        <f>IF(int_ai_sample_v2!I50=人工標注!I50,"是","否")</f>
        <v>是</v>
      </c>
      <c r="K50" s="7" t="str">
        <f>IF(int_ai_sample_v2!J50=人工標注!J50,"是","否")</f>
        <v>是</v>
      </c>
      <c r="L50" s="7" t="str">
        <f>IF(int_ai_sample_v2!K50=人工標注!K50,"是","否")</f>
        <v>是</v>
      </c>
      <c r="M50" s="7" t="str">
        <f>IF(int_ai_sample_v2!L50=人工標注!L50,"是","否")</f>
        <v>否</v>
      </c>
      <c r="N50" s="7" t="str">
        <f>IF(int_ai_sample_v2!M50=人工標注!M50,"是","否")</f>
        <v>是</v>
      </c>
      <c r="O50" s="7" t="str">
        <f>IF(int_ai_sample_v2!N50=人工標注!N50,"是","否")</f>
        <v>是</v>
      </c>
    </row>
    <row r="51" spans="1:15">
      <c r="A51" t="s">
        <v>213</v>
      </c>
      <c r="B51">
        <v>3</v>
      </c>
      <c r="C51" t="s">
        <v>216</v>
      </c>
      <c r="D51" s="7" t="str">
        <f>int_ai_sample_v2!F51</f>
        <v>negative</v>
      </c>
      <c r="E51" s="7" t="str">
        <f>人工標注!F51</f>
        <v>negative</v>
      </c>
      <c r="F51" s="7" t="str">
        <f t="shared" si="0"/>
        <v>是</v>
      </c>
      <c r="G51" s="28">
        <f t="shared" si="1"/>
        <v>0.87</v>
      </c>
      <c r="H51" s="7" t="str">
        <f>IF(int_ai_sample_v2!G51=人工標注!G51,"是","否")</f>
        <v>是</v>
      </c>
      <c r="I51" s="7" t="str">
        <f>IF(int_ai_sample_v2!H51=人工標注!H51,"是","否")</f>
        <v>是</v>
      </c>
      <c r="J51" s="7" t="str">
        <f>IF(int_ai_sample_v2!I51=人工標注!I51,"是","否")</f>
        <v>是</v>
      </c>
      <c r="K51" s="7" t="str">
        <f>IF(int_ai_sample_v2!J51=人工標注!J51,"是","否")</f>
        <v>是</v>
      </c>
      <c r="L51" s="7" t="str">
        <f>IF(int_ai_sample_v2!K51=人工標注!K51,"是","否")</f>
        <v>是</v>
      </c>
      <c r="M51" s="7" t="str">
        <f>IF(int_ai_sample_v2!L51=人工標注!L51,"是","否")</f>
        <v>是</v>
      </c>
      <c r="N51" s="7" t="str">
        <f>IF(int_ai_sample_v2!M51=人工標注!M51,"是","否")</f>
        <v>是</v>
      </c>
      <c r="O51" s="7" t="str">
        <f>IF(int_ai_sample_v2!N51=人工標注!N51,"是","否")</f>
        <v>是</v>
      </c>
    </row>
    <row r="52" spans="1:15">
      <c r="A52" t="s">
        <v>217</v>
      </c>
      <c r="B52">
        <v>2</v>
      </c>
      <c r="C52" t="s">
        <v>220</v>
      </c>
      <c r="D52" s="7" t="str">
        <f>int_ai_sample_v2!F52</f>
        <v>negative</v>
      </c>
      <c r="E52" s="7" t="str">
        <f>人工標注!F52</f>
        <v>negative</v>
      </c>
      <c r="F52" s="7" t="str">
        <f t="shared" si="0"/>
        <v>是</v>
      </c>
      <c r="G52" s="28">
        <f t="shared" si="1"/>
        <v>0.87</v>
      </c>
      <c r="H52" s="7" t="str">
        <f>IF(int_ai_sample_v2!G52=人工標注!G52,"是","否")</f>
        <v>是</v>
      </c>
      <c r="I52" s="7" t="str">
        <f>IF(int_ai_sample_v2!H52=人工標注!H52,"是","否")</f>
        <v>否</v>
      </c>
      <c r="J52" s="7" t="str">
        <f>IF(int_ai_sample_v2!I52=人工標注!I52,"是","否")</f>
        <v>是</v>
      </c>
      <c r="K52" s="7" t="str">
        <f>IF(int_ai_sample_v2!J52=人工標注!J52,"是","否")</f>
        <v>否</v>
      </c>
      <c r="L52" s="7" t="str">
        <f>IF(int_ai_sample_v2!K52=人工標注!K52,"是","否")</f>
        <v>是</v>
      </c>
      <c r="M52" s="7" t="str">
        <f>IF(int_ai_sample_v2!L52=人工標注!L52,"是","否")</f>
        <v>是</v>
      </c>
      <c r="N52" s="7" t="str">
        <f>IF(int_ai_sample_v2!M52=人工標注!M52,"是","否")</f>
        <v>是</v>
      </c>
      <c r="O52" s="7" t="str">
        <f>IF(int_ai_sample_v2!N52=人工標注!N52,"是","否")</f>
        <v>是</v>
      </c>
    </row>
    <row r="53" spans="1:15">
      <c r="A53" t="s">
        <v>221</v>
      </c>
      <c r="B53">
        <v>2</v>
      </c>
      <c r="C53" t="s">
        <v>224</v>
      </c>
      <c r="D53" s="7" t="str">
        <f>int_ai_sample_v2!F53</f>
        <v>negative</v>
      </c>
      <c r="E53" s="7" t="str">
        <f>人工標注!F53</f>
        <v>mixed</v>
      </c>
      <c r="F53" s="7" t="str">
        <f t="shared" si="0"/>
        <v>否</v>
      </c>
      <c r="G53" s="28">
        <f t="shared" si="1"/>
        <v>0.87</v>
      </c>
      <c r="H53" s="7" t="str">
        <f>IF(int_ai_sample_v2!G53=人工標注!G53,"是","否")</f>
        <v>是</v>
      </c>
      <c r="I53" s="7" t="str">
        <f>IF(int_ai_sample_v2!H53=人工標注!H53,"是","否")</f>
        <v>否</v>
      </c>
      <c r="J53" s="7" t="str">
        <f>IF(int_ai_sample_v2!I53=人工標注!I53,"是","否")</f>
        <v>是</v>
      </c>
      <c r="K53" s="7" t="str">
        <f>IF(int_ai_sample_v2!J53=人工標注!J53,"是","否")</f>
        <v>否</v>
      </c>
      <c r="L53" s="7" t="str">
        <f>IF(int_ai_sample_v2!K53=人工標注!K53,"是","否")</f>
        <v>是</v>
      </c>
      <c r="M53" s="7" t="str">
        <f>IF(int_ai_sample_v2!L53=人工標注!L53,"是","否")</f>
        <v>是</v>
      </c>
      <c r="N53" s="7" t="str">
        <f>IF(int_ai_sample_v2!M53=人工標注!M53,"是","否")</f>
        <v>是</v>
      </c>
      <c r="O53" s="7" t="str">
        <f>IF(int_ai_sample_v2!N53=人工標注!N53,"是","否")</f>
        <v>是</v>
      </c>
    </row>
    <row r="54" spans="1:15">
      <c r="A54" t="s">
        <v>225</v>
      </c>
      <c r="B54">
        <v>5</v>
      </c>
      <c r="C54" t="s">
        <v>228</v>
      </c>
      <c r="D54" s="7" t="str">
        <f>int_ai_sample_v2!F54</f>
        <v>positive</v>
      </c>
      <c r="E54" s="7" t="str">
        <f>人工標注!F54</f>
        <v>positive</v>
      </c>
      <c r="F54" s="7" t="str">
        <f t="shared" si="0"/>
        <v>是</v>
      </c>
      <c r="G54" s="28">
        <f t="shared" si="1"/>
        <v>0.87</v>
      </c>
      <c r="H54" s="7" t="str">
        <f>IF(int_ai_sample_v2!G54=人工標注!G54,"是","否")</f>
        <v>是</v>
      </c>
      <c r="I54" s="7" t="str">
        <f>IF(int_ai_sample_v2!H54=人工標注!H54,"是","否")</f>
        <v>是</v>
      </c>
      <c r="J54" s="7" t="str">
        <f>IF(int_ai_sample_v2!I54=人工標注!I54,"是","否")</f>
        <v>是</v>
      </c>
      <c r="K54" s="7" t="str">
        <f>IF(int_ai_sample_v2!J54=人工標注!J54,"是","否")</f>
        <v>是</v>
      </c>
      <c r="L54" s="7" t="str">
        <f>IF(int_ai_sample_v2!K54=人工標注!K54,"是","否")</f>
        <v>是</v>
      </c>
      <c r="M54" s="7" t="str">
        <f>IF(int_ai_sample_v2!L54=人工標注!L54,"是","否")</f>
        <v>是</v>
      </c>
      <c r="N54" s="7" t="str">
        <f>IF(int_ai_sample_v2!M54=人工標注!M54,"是","否")</f>
        <v>是</v>
      </c>
      <c r="O54" s="7" t="str">
        <f>IF(int_ai_sample_v2!N54=人工標注!N54,"是","否")</f>
        <v>是</v>
      </c>
    </row>
    <row r="55" spans="1:15">
      <c r="A55" t="s">
        <v>229</v>
      </c>
      <c r="B55">
        <v>2</v>
      </c>
      <c r="C55" t="s">
        <v>232</v>
      </c>
      <c r="D55" s="7" t="str">
        <f>int_ai_sample_v2!F55</f>
        <v>negative</v>
      </c>
      <c r="E55" s="7" t="str">
        <f>人工標注!F55</f>
        <v>negative</v>
      </c>
      <c r="F55" s="7" t="str">
        <f t="shared" si="0"/>
        <v>是</v>
      </c>
      <c r="G55" s="28">
        <f t="shared" si="1"/>
        <v>0.87</v>
      </c>
      <c r="H55" s="7" t="str">
        <f>IF(int_ai_sample_v2!G55=人工標注!G55,"是","否")</f>
        <v>是</v>
      </c>
      <c r="I55" s="7" t="str">
        <f>IF(int_ai_sample_v2!H55=人工標注!H55,"是","否")</f>
        <v>否</v>
      </c>
      <c r="J55" s="7" t="str">
        <f>IF(int_ai_sample_v2!I55=人工標注!I55,"是","否")</f>
        <v>是</v>
      </c>
      <c r="K55" s="7" t="str">
        <f>IF(int_ai_sample_v2!J55=人工標注!J55,"是","否")</f>
        <v>是</v>
      </c>
      <c r="L55" s="7" t="str">
        <f>IF(int_ai_sample_v2!K55=人工標注!K55,"是","否")</f>
        <v>是</v>
      </c>
      <c r="M55" s="7" t="str">
        <f>IF(int_ai_sample_v2!L55=人工標注!L55,"是","否")</f>
        <v>是</v>
      </c>
      <c r="N55" s="7" t="str">
        <f>IF(int_ai_sample_v2!M55=人工標注!M55,"是","否")</f>
        <v>是</v>
      </c>
      <c r="O55" s="7" t="str">
        <f>IF(int_ai_sample_v2!N55=人工標注!N55,"是","否")</f>
        <v>是</v>
      </c>
    </row>
    <row r="56" spans="1:15">
      <c r="A56" t="s">
        <v>233</v>
      </c>
      <c r="B56">
        <v>2</v>
      </c>
      <c r="C56" t="s">
        <v>236</v>
      </c>
      <c r="D56" s="7" t="str">
        <f>int_ai_sample_v2!F56</f>
        <v>negative</v>
      </c>
      <c r="E56" s="7" t="str">
        <f>人工標注!F56</f>
        <v>negative</v>
      </c>
      <c r="F56" s="7" t="str">
        <f t="shared" si="0"/>
        <v>是</v>
      </c>
      <c r="G56" s="28">
        <f t="shared" si="1"/>
        <v>0.87</v>
      </c>
      <c r="H56" s="7" t="str">
        <f>IF(int_ai_sample_v2!G56=人工標注!G56,"是","否")</f>
        <v>否</v>
      </c>
      <c r="I56" s="7" t="str">
        <f>IF(int_ai_sample_v2!H56=人工標注!H56,"是","否")</f>
        <v>否</v>
      </c>
      <c r="J56" s="7" t="str">
        <f>IF(int_ai_sample_v2!I56=人工標注!I56,"是","否")</f>
        <v>是</v>
      </c>
      <c r="K56" s="7" t="str">
        <f>IF(int_ai_sample_v2!J56=人工標注!J56,"是","否")</f>
        <v>否</v>
      </c>
      <c r="L56" s="7" t="str">
        <f>IF(int_ai_sample_v2!K56=人工標注!K56,"是","否")</f>
        <v>是</v>
      </c>
      <c r="M56" s="7" t="str">
        <f>IF(int_ai_sample_v2!L56=人工標注!L56,"是","否")</f>
        <v>是</v>
      </c>
      <c r="N56" s="7" t="str">
        <f>IF(int_ai_sample_v2!M56=人工標注!M56,"是","否")</f>
        <v>是</v>
      </c>
      <c r="O56" s="7" t="str">
        <f>IF(int_ai_sample_v2!N56=人工標注!N56,"是","否")</f>
        <v>是</v>
      </c>
    </row>
    <row r="57" spans="1:15">
      <c r="A57" t="s">
        <v>237</v>
      </c>
      <c r="B57">
        <v>4</v>
      </c>
      <c r="C57" t="s">
        <v>240</v>
      </c>
      <c r="D57" s="7" t="str">
        <f>int_ai_sample_v2!F57</f>
        <v>neutral</v>
      </c>
      <c r="E57" s="7" t="str">
        <f>人工標注!F57</f>
        <v>negative</v>
      </c>
      <c r="F57" s="7" t="str">
        <f t="shared" si="0"/>
        <v>否</v>
      </c>
      <c r="G57" s="28">
        <f t="shared" si="1"/>
        <v>0.87</v>
      </c>
      <c r="H57" s="7" t="str">
        <f>IF(int_ai_sample_v2!G57=人工標注!G57,"是","否")</f>
        <v>否</v>
      </c>
      <c r="I57" s="7" t="str">
        <f>IF(int_ai_sample_v2!H57=人工標注!H57,"是","否")</f>
        <v>否</v>
      </c>
      <c r="J57" s="7" t="str">
        <f>IF(int_ai_sample_v2!I57=人工標注!I57,"是","否")</f>
        <v>否</v>
      </c>
      <c r="K57" s="7" t="str">
        <f>IF(int_ai_sample_v2!J57=人工標注!J57,"是","否")</f>
        <v>否</v>
      </c>
      <c r="L57" s="7" t="str">
        <f>IF(int_ai_sample_v2!K57=人工標注!K57,"是","否")</f>
        <v>是</v>
      </c>
      <c r="M57" s="7" t="str">
        <f>IF(int_ai_sample_v2!L57=人工標注!L57,"是","否")</f>
        <v>是</v>
      </c>
      <c r="N57" s="7" t="str">
        <f>IF(int_ai_sample_v2!M57=人工標注!M57,"是","否")</f>
        <v>是</v>
      </c>
      <c r="O57" s="7" t="str">
        <f>IF(int_ai_sample_v2!N57=人工標注!N57,"是","否")</f>
        <v>是</v>
      </c>
    </row>
    <row r="58" spans="1:15">
      <c r="A58" t="s">
        <v>241</v>
      </c>
      <c r="B58">
        <v>3</v>
      </c>
      <c r="C58" t="s">
        <v>244</v>
      </c>
      <c r="D58" s="7" t="str">
        <f>int_ai_sample_v2!F58</f>
        <v>positive</v>
      </c>
      <c r="E58" s="7" t="str">
        <f>人工標注!F58</f>
        <v>positive</v>
      </c>
      <c r="F58" s="7" t="str">
        <f t="shared" si="0"/>
        <v>是</v>
      </c>
      <c r="G58" s="28">
        <f t="shared" si="1"/>
        <v>0.87</v>
      </c>
      <c r="H58" s="7" t="str">
        <f>IF(int_ai_sample_v2!G58=人工標注!G58,"是","否")</f>
        <v>是</v>
      </c>
      <c r="I58" s="7" t="str">
        <f>IF(int_ai_sample_v2!H58=人工標注!H58,"是","否")</f>
        <v>是</v>
      </c>
      <c r="J58" s="7" t="str">
        <f>IF(int_ai_sample_v2!I58=人工標注!I58,"是","否")</f>
        <v>是</v>
      </c>
      <c r="K58" s="7" t="str">
        <f>IF(int_ai_sample_v2!J58=人工標注!J58,"是","否")</f>
        <v>是</v>
      </c>
      <c r="L58" s="7" t="str">
        <f>IF(int_ai_sample_v2!K58=人工標注!K58,"是","否")</f>
        <v>是</v>
      </c>
      <c r="M58" s="7" t="str">
        <f>IF(int_ai_sample_v2!L58=人工標注!L58,"是","否")</f>
        <v>是</v>
      </c>
      <c r="N58" s="7" t="str">
        <f>IF(int_ai_sample_v2!M58=人工標注!M58,"是","否")</f>
        <v>是</v>
      </c>
      <c r="O58" s="7" t="str">
        <f>IF(int_ai_sample_v2!N58=人工標注!N58,"是","否")</f>
        <v>是</v>
      </c>
    </row>
    <row r="59" spans="1:15">
      <c r="A59" t="s">
        <v>245</v>
      </c>
      <c r="B59">
        <v>1</v>
      </c>
      <c r="C59" t="s">
        <v>248</v>
      </c>
      <c r="D59" s="7" t="str">
        <f>int_ai_sample_v2!F59</f>
        <v>neutral</v>
      </c>
      <c r="E59" s="7" t="str">
        <f>人工標注!F59</f>
        <v>negative</v>
      </c>
      <c r="F59" s="7" t="str">
        <f t="shared" si="0"/>
        <v>否</v>
      </c>
      <c r="G59" s="28">
        <f t="shared" si="1"/>
        <v>0.87</v>
      </c>
      <c r="H59" s="7" t="str">
        <f>IF(int_ai_sample_v2!G59=人工標注!G59,"是","否")</f>
        <v>是</v>
      </c>
      <c r="I59" s="7" t="str">
        <f>IF(int_ai_sample_v2!H59=人工標注!H59,"是","否")</f>
        <v>是</v>
      </c>
      <c r="J59" s="7" t="str">
        <f>IF(int_ai_sample_v2!I59=人工標注!I59,"是","否")</f>
        <v>是</v>
      </c>
      <c r="K59" s="7" t="str">
        <f>IF(int_ai_sample_v2!J59=人工標注!J59,"是","否")</f>
        <v>是</v>
      </c>
      <c r="L59" s="7" t="str">
        <f>IF(int_ai_sample_v2!K59=人工標注!K59,"是","否")</f>
        <v>是</v>
      </c>
      <c r="M59" s="7" t="str">
        <f>IF(int_ai_sample_v2!L59=人工標注!L59,"是","否")</f>
        <v>是</v>
      </c>
      <c r="N59" s="7" t="str">
        <f>IF(int_ai_sample_v2!M59=人工標注!M59,"是","否")</f>
        <v>是</v>
      </c>
      <c r="O59" s="7" t="str">
        <f>IF(int_ai_sample_v2!N59=人工標注!N59,"是","否")</f>
        <v>是</v>
      </c>
    </row>
    <row r="60" spans="1:15">
      <c r="A60" t="s">
        <v>249</v>
      </c>
      <c r="B60">
        <v>3</v>
      </c>
      <c r="C60" t="s">
        <v>252</v>
      </c>
      <c r="D60" s="7" t="str">
        <f>int_ai_sample_v2!F60</f>
        <v>negative</v>
      </c>
      <c r="E60" s="7" t="str">
        <f>人工標注!F60</f>
        <v>negative</v>
      </c>
      <c r="F60" s="7" t="str">
        <f t="shared" si="0"/>
        <v>是</v>
      </c>
      <c r="G60" s="28">
        <f t="shared" si="1"/>
        <v>0.87</v>
      </c>
      <c r="H60" s="7" t="str">
        <f>IF(int_ai_sample_v2!G60=人工標注!G60,"是","否")</f>
        <v>是</v>
      </c>
      <c r="I60" s="7" t="str">
        <f>IF(int_ai_sample_v2!H60=人工標注!H60,"是","否")</f>
        <v>是</v>
      </c>
      <c r="J60" s="7" t="str">
        <f>IF(int_ai_sample_v2!I60=人工標注!I60,"是","否")</f>
        <v>是</v>
      </c>
      <c r="K60" s="7" t="str">
        <f>IF(int_ai_sample_v2!J60=人工標注!J60,"是","否")</f>
        <v>是</v>
      </c>
      <c r="L60" s="7" t="str">
        <f>IF(int_ai_sample_v2!K60=人工標注!K60,"是","否")</f>
        <v>是</v>
      </c>
      <c r="M60" s="7" t="str">
        <f>IF(int_ai_sample_v2!L60=人工標注!L60,"是","否")</f>
        <v>是</v>
      </c>
      <c r="N60" s="7" t="str">
        <f>IF(int_ai_sample_v2!M60=人工標注!M60,"是","否")</f>
        <v>是</v>
      </c>
      <c r="O60" s="7" t="str">
        <f>IF(int_ai_sample_v2!N60=人工標注!N60,"是","否")</f>
        <v>是</v>
      </c>
    </row>
    <row r="61" spans="1:15">
      <c r="A61" t="s">
        <v>253</v>
      </c>
      <c r="B61">
        <v>5</v>
      </c>
      <c r="C61" t="s">
        <v>256</v>
      </c>
      <c r="D61" s="7" t="str">
        <f>int_ai_sample_v2!F61</f>
        <v>positive</v>
      </c>
      <c r="E61" s="7" t="str">
        <f>人工標注!F61</f>
        <v>positive</v>
      </c>
      <c r="F61" s="7" t="str">
        <f t="shared" si="0"/>
        <v>是</v>
      </c>
      <c r="G61" s="28">
        <f t="shared" si="1"/>
        <v>0.87</v>
      </c>
      <c r="H61" s="7" t="str">
        <f>IF(int_ai_sample_v2!G61=人工標注!G61,"是","否")</f>
        <v>是</v>
      </c>
      <c r="I61" s="7" t="str">
        <f>IF(int_ai_sample_v2!H61=人工標注!H61,"是","否")</f>
        <v>是</v>
      </c>
      <c r="J61" s="7" t="str">
        <f>IF(int_ai_sample_v2!I61=人工標注!I61,"是","否")</f>
        <v>是</v>
      </c>
      <c r="K61" s="7" t="str">
        <f>IF(int_ai_sample_v2!J61=人工標注!J61,"是","否")</f>
        <v>是</v>
      </c>
      <c r="L61" s="7" t="str">
        <f>IF(int_ai_sample_v2!K61=人工標注!K61,"是","否")</f>
        <v>是</v>
      </c>
      <c r="M61" s="7" t="str">
        <f>IF(int_ai_sample_v2!L61=人工標注!L61,"是","否")</f>
        <v>是</v>
      </c>
      <c r="N61" s="7" t="str">
        <f>IF(int_ai_sample_v2!M61=人工標注!M61,"是","否")</f>
        <v>是</v>
      </c>
      <c r="O61" s="7" t="str">
        <f>IF(int_ai_sample_v2!N61=人工標注!N61,"是","否")</f>
        <v>是</v>
      </c>
    </row>
    <row r="62" spans="1:15">
      <c r="A62" t="s">
        <v>257</v>
      </c>
      <c r="B62">
        <v>4</v>
      </c>
      <c r="C62" t="s">
        <v>260</v>
      </c>
      <c r="D62" s="7" t="str">
        <f>int_ai_sample_v2!F62</f>
        <v>positive</v>
      </c>
      <c r="E62" s="7" t="str">
        <f>人工標注!F62</f>
        <v>positive</v>
      </c>
      <c r="F62" s="7" t="str">
        <f t="shared" si="0"/>
        <v>是</v>
      </c>
      <c r="G62" s="28">
        <f t="shared" si="1"/>
        <v>0.87</v>
      </c>
      <c r="H62" s="7" t="str">
        <f>IF(int_ai_sample_v2!G62=人工標注!G62,"是","否")</f>
        <v>是</v>
      </c>
      <c r="I62" s="7" t="str">
        <f>IF(int_ai_sample_v2!H62=人工標注!H62,"是","否")</f>
        <v>是</v>
      </c>
      <c r="J62" s="7" t="str">
        <f>IF(int_ai_sample_v2!I62=人工標注!I62,"是","否")</f>
        <v>是</v>
      </c>
      <c r="K62" s="7" t="str">
        <f>IF(int_ai_sample_v2!J62=人工標注!J62,"是","否")</f>
        <v>是</v>
      </c>
      <c r="L62" s="7" t="str">
        <f>IF(int_ai_sample_v2!K62=人工標注!K62,"是","否")</f>
        <v>是</v>
      </c>
      <c r="M62" s="7" t="str">
        <f>IF(int_ai_sample_v2!L62=人工標注!L62,"是","否")</f>
        <v>是</v>
      </c>
      <c r="N62" s="7" t="str">
        <f>IF(int_ai_sample_v2!M62=人工標注!M62,"是","否")</f>
        <v>是</v>
      </c>
      <c r="O62" s="7" t="str">
        <f>IF(int_ai_sample_v2!N62=人工標注!N62,"是","否")</f>
        <v>是</v>
      </c>
    </row>
    <row r="63" spans="1:15">
      <c r="A63" t="s">
        <v>261</v>
      </c>
      <c r="B63">
        <v>1</v>
      </c>
      <c r="C63" t="s">
        <v>264</v>
      </c>
      <c r="D63" s="7" t="str">
        <f>int_ai_sample_v2!F63</f>
        <v>negative</v>
      </c>
      <c r="E63" s="7" t="str">
        <f>人工標注!F63</f>
        <v>negative</v>
      </c>
      <c r="F63" s="7" t="str">
        <f t="shared" si="0"/>
        <v>是</v>
      </c>
      <c r="G63" s="28">
        <f t="shared" si="1"/>
        <v>0.87</v>
      </c>
      <c r="H63" s="7" t="str">
        <f>IF(int_ai_sample_v2!G63=人工標注!G63,"是","否")</f>
        <v>是</v>
      </c>
      <c r="I63" s="7" t="str">
        <f>IF(int_ai_sample_v2!H63=人工標注!H63,"是","否")</f>
        <v>是</v>
      </c>
      <c r="J63" s="7" t="str">
        <f>IF(int_ai_sample_v2!I63=人工標注!I63,"是","否")</f>
        <v>是</v>
      </c>
      <c r="K63" s="7" t="str">
        <f>IF(int_ai_sample_v2!J63=人工標注!J63,"是","否")</f>
        <v>是</v>
      </c>
      <c r="L63" s="7" t="str">
        <f>IF(int_ai_sample_v2!K63=人工標注!K63,"是","否")</f>
        <v>是</v>
      </c>
      <c r="M63" s="7" t="str">
        <f>IF(int_ai_sample_v2!L63=人工標注!L63,"是","否")</f>
        <v>是</v>
      </c>
      <c r="N63" s="7" t="str">
        <f>IF(int_ai_sample_v2!M63=人工標注!M63,"是","否")</f>
        <v>是</v>
      </c>
      <c r="O63" s="7" t="str">
        <f>IF(int_ai_sample_v2!N63=人工標注!N63,"是","否")</f>
        <v>是</v>
      </c>
    </row>
    <row r="64" spans="1:15">
      <c r="A64" t="s">
        <v>265</v>
      </c>
      <c r="B64">
        <v>4</v>
      </c>
      <c r="C64" t="s">
        <v>268</v>
      </c>
      <c r="D64" s="7" t="str">
        <f>int_ai_sample_v2!F64</f>
        <v>negative</v>
      </c>
      <c r="E64" s="7" t="str">
        <f>人工標注!F64</f>
        <v>neutral</v>
      </c>
      <c r="F64" s="7" t="str">
        <f t="shared" si="0"/>
        <v>否</v>
      </c>
      <c r="G64" s="28">
        <f t="shared" si="1"/>
        <v>0.87</v>
      </c>
      <c r="H64" s="7" t="str">
        <f>IF(int_ai_sample_v2!G64=人工標注!G64,"是","否")</f>
        <v>是</v>
      </c>
      <c r="I64" s="7" t="str">
        <f>IF(int_ai_sample_v2!H64=人工標注!H64,"是","否")</f>
        <v>是</v>
      </c>
      <c r="J64" s="7" t="str">
        <f>IF(int_ai_sample_v2!I64=人工標注!I64,"是","否")</f>
        <v>是</v>
      </c>
      <c r="K64" s="7" t="str">
        <f>IF(int_ai_sample_v2!J64=人工標注!J64,"是","否")</f>
        <v>是</v>
      </c>
      <c r="L64" s="7" t="str">
        <f>IF(int_ai_sample_v2!K64=人工標注!K64,"是","否")</f>
        <v>是</v>
      </c>
      <c r="M64" s="7" t="str">
        <f>IF(int_ai_sample_v2!L64=人工標注!L64,"是","否")</f>
        <v>是</v>
      </c>
      <c r="N64" s="7" t="str">
        <f>IF(int_ai_sample_v2!M64=人工標注!M64,"是","否")</f>
        <v>是</v>
      </c>
      <c r="O64" s="7" t="str">
        <f>IF(int_ai_sample_v2!N64=人工標注!N64,"是","否")</f>
        <v>是</v>
      </c>
    </row>
    <row r="65" spans="1:15">
      <c r="A65" t="s">
        <v>269</v>
      </c>
      <c r="B65">
        <v>3</v>
      </c>
      <c r="C65" t="s">
        <v>272</v>
      </c>
      <c r="D65" s="7" t="str">
        <f>int_ai_sample_v2!F65</f>
        <v>negative</v>
      </c>
      <c r="E65" s="7" t="str">
        <f>人工標注!F65</f>
        <v>negative</v>
      </c>
      <c r="F65" s="7" t="str">
        <f t="shared" si="0"/>
        <v>是</v>
      </c>
      <c r="G65" s="28">
        <f t="shared" si="1"/>
        <v>0.87</v>
      </c>
      <c r="H65" s="7" t="str">
        <f>IF(int_ai_sample_v2!G65=人工標注!G65,"是","否")</f>
        <v>是</v>
      </c>
      <c r="I65" s="7" t="str">
        <f>IF(int_ai_sample_v2!H65=人工標注!H65,"是","否")</f>
        <v>是</v>
      </c>
      <c r="J65" s="7" t="str">
        <f>IF(int_ai_sample_v2!I65=人工標注!I65,"是","否")</f>
        <v>是</v>
      </c>
      <c r="K65" s="7" t="str">
        <f>IF(int_ai_sample_v2!J65=人工標注!J65,"是","否")</f>
        <v>是</v>
      </c>
      <c r="L65" s="7" t="str">
        <f>IF(int_ai_sample_v2!K65=人工標注!K65,"是","否")</f>
        <v>是</v>
      </c>
      <c r="M65" s="7" t="str">
        <f>IF(int_ai_sample_v2!L65=人工標注!L65,"是","否")</f>
        <v>是</v>
      </c>
      <c r="N65" s="7" t="str">
        <f>IF(int_ai_sample_v2!M65=人工標注!M65,"是","否")</f>
        <v>是</v>
      </c>
      <c r="O65" s="7" t="str">
        <f>IF(int_ai_sample_v2!N65=人工標注!N65,"是","否")</f>
        <v>是</v>
      </c>
    </row>
    <row r="66" spans="1:15">
      <c r="A66" t="s">
        <v>273</v>
      </c>
      <c r="B66">
        <v>1</v>
      </c>
      <c r="C66" t="s">
        <v>276</v>
      </c>
      <c r="D66" s="7" t="str">
        <f>int_ai_sample_v2!F66</f>
        <v>negative</v>
      </c>
      <c r="E66" s="7" t="str">
        <f>人工標注!F66</f>
        <v>negative</v>
      </c>
      <c r="F66" s="7" t="str">
        <f t="shared" si="0"/>
        <v>是</v>
      </c>
      <c r="G66" s="28">
        <f t="shared" si="1"/>
        <v>0.87</v>
      </c>
      <c r="H66" s="7" t="str">
        <f>IF(int_ai_sample_v2!G66=人工標注!G66,"是","否")</f>
        <v>是</v>
      </c>
      <c r="I66" s="7" t="str">
        <f>IF(int_ai_sample_v2!H66=人工標注!H66,"是","否")</f>
        <v>是</v>
      </c>
      <c r="J66" s="7" t="str">
        <f>IF(int_ai_sample_v2!I66=人工標注!I66,"是","否")</f>
        <v>是</v>
      </c>
      <c r="K66" s="7" t="str">
        <f>IF(int_ai_sample_v2!J66=人工標注!J66,"是","否")</f>
        <v>是</v>
      </c>
      <c r="L66" s="7" t="str">
        <f>IF(int_ai_sample_v2!K66=人工標注!K66,"是","否")</f>
        <v>是</v>
      </c>
      <c r="M66" s="7" t="str">
        <f>IF(int_ai_sample_v2!L66=人工標注!L66,"是","否")</f>
        <v>是</v>
      </c>
      <c r="N66" s="7" t="str">
        <f>IF(int_ai_sample_v2!M66=人工標注!M66,"是","否")</f>
        <v>是</v>
      </c>
      <c r="O66" s="7" t="str">
        <f>IF(int_ai_sample_v2!N66=人工標注!N66,"是","否")</f>
        <v>是</v>
      </c>
    </row>
    <row r="67" spans="1:15">
      <c r="A67" t="s">
        <v>277</v>
      </c>
      <c r="B67">
        <v>1</v>
      </c>
      <c r="C67" t="s">
        <v>280</v>
      </c>
      <c r="D67" s="7" t="str">
        <f>int_ai_sample_v2!F67</f>
        <v>negative</v>
      </c>
      <c r="E67" s="7" t="str">
        <f>人工標注!F67</f>
        <v>negative</v>
      </c>
      <c r="F67" s="7" t="str">
        <f t="shared" ref="F67:F101" si="6">IF(D67=E67,"是","否")</f>
        <v>是</v>
      </c>
      <c r="G67" s="28">
        <f t="shared" ref="G67:G101" si="7">COUNTIF($F$2:$F$101,"是")/COUNTA($A$2:$A$101)</f>
        <v>0.87</v>
      </c>
      <c r="H67" s="7" t="str">
        <f>IF(int_ai_sample_v2!G67=人工標注!G67,"是","否")</f>
        <v>是</v>
      </c>
      <c r="I67" s="7" t="str">
        <f>IF(int_ai_sample_v2!H67=人工標注!H67,"是","否")</f>
        <v>是</v>
      </c>
      <c r="J67" s="7" t="str">
        <f>IF(int_ai_sample_v2!I67=人工標注!I67,"是","否")</f>
        <v>是</v>
      </c>
      <c r="K67" s="7" t="str">
        <f>IF(int_ai_sample_v2!J67=人工標注!J67,"是","否")</f>
        <v>否</v>
      </c>
      <c r="L67" s="7" t="str">
        <f>IF(int_ai_sample_v2!K67=人工標注!K67,"是","否")</f>
        <v>是</v>
      </c>
      <c r="M67" s="7" t="str">
        <f>IF(int_ai_sample_v2!L67=人工標注!L67,"是","否")</f>
        <v>是</v>
      </c>
      <c r="N67" s="7" t="str">
        <f>IF(int_ai_sample_v2!M67=人工標注!M67,"是","否")</f>
        <v>是</v>
      </c>
      <c r="O67" s="7" t="str">
        <f>IF(int_ai_sample_v2!N67=人工標注!N67,"是","否")</f>
        <v>是</v>
      </c>
    </row>
    <row r="68" spans="1:15">
      <c r="A68" t="s">
        <v>281</v>
      </c>
      <c r="B68">
        <v>2</v>
      </c>
      <c r="C68" t="s">
        <v>284</v>
      </c>
      <c r="D68" s="7" t="str">
        <f>int_ai_sample_v2!F68</f>
        <v>negative</v>
      </c>
      <c r="E68" s="7" t="str">
        <f>人工標注!F68</f>
        <v>negative</v>
      </c>
      <c r="F68" s="7" t="str">
        <f t="shared" si="6"/>
        <v>是</v>
      </c>
      <c r="G68" s="28">
        <f t="shared" si="7"/>
        <v>0.87</v>
      </c>
      <c r="H68" s="7" t="str">
        <f>IF(int_ai_sample_v2!G68=人工標注!G68,"是","否")</f>
        <v>是</v>
      </c>
      <c r="I68" s="7" t="str">
        <f>IF(int_ai_sample_v2!H68=人工標注!H68,"是","否")</f>
        <v>是</v>
      </c>
      <c r="J68" s="7" t="str">
        <f>IF(int_ai_sample_v2!I68=人工標注!I68,"是","否")</f>
        <v>是</v>
      </c>
      <c r="K68" s="7" t="str">
        <f>IF(int_ai_sample_v2!J68=人工標注!J68,"是","否")</f>
        <v>是</v>
      </c>
      <c r="L68" s="7" t="str">
        <f>IF(int_ai_sample_v2!K68=人工標注!K68,"是","否")</f>
        <v>是</v>
      </c>
      <c r="M68" s="7" t="str">
        <f>IF(int_ai_sample_v2!L68=人工標注!L68,"是","否")</f>
        <v>是</v>
      </c>
      <c r="N68" s="7" t="str">
        <f>IF(int_ai_sample_v2!M68=人工標注!M68,"是","否")</f>
        <v>是</v>
      </c>
      <c r="O68" s="7" t="str">
        <f>IF(int_ai_sample_v2!N68=人工標注!N68,"是","否")</f>
        <v>是</v>
      </c>
    </row>
    <row r="69" spans="1:15">
      <c r="A69" t="s">
        <v>285</v>
      </c>
      <c r="B69">
        <v>3</v>
      </c>
      <c r="C69" t="s">
        <v>288</v>
      </c>
      <c r="D69" s="7" t="str">
        <f>int_ai_sample_v2!F69</f>
        <v>positive</v>
      </c>
      <c r="E69" s="7" t="str">
        <f>人工標注!F69</f>
        <v>positive</v>
      </c>
      <c r="F69" s="7" t="str">
        <f t="shared" si="6"/>
        <v>是</v>
      </c>
      <c r="G69" s="28">
        <f t="shared" si="7"/>
        <v>0.87</v>
      </c>
      <c r="H69" s="7" t="str">
        <f>IF(int_ai_sample_v2!G69=人工標注!G69,"是","否")</f>
        <v>是</v>
      </c>
      <c r="I69" s="7" t="str">
        <f>IF(int_ai_sample_v2!H69=人工標注!H69,"是","否")</f>
        <v>是</v>
      </c>
      <c r="J69" s="7" t="str">
        <f>IF(int_ai_sample_v2!I69=人工標注!I69,"是","否")</f>
        <v>是</v>
      </c>
      <c r="K69" s="7" t="str">
        <f>IF(int_ai_sample_v2!J69=人工標注!J69,"是","否")</f>
        <v>是</v>
      </c>
      <c r="L69" s="7" t="str">
        <f>IF(int_ai_sample_v2!K69=人工標注!K69,"是","否")</f>
        <v>是</v>
      </c>
      <c r="M69" s="7" t="str">
        <f>IF(int_ai_sample_v2!L69=人工標注!L69,"是","否")</f>
        <v>是</v>
      </c>
      <c r="N69" s="7" t="str">
        <f>IF(int_ai_sample_v2!M69=人工標注!M69,"是","否")</f>
        <v>是</v>
      </c>
      <c r="O69" s="7" t="str">
        <f>IF(int_ai_sample_v2!N69=人工標注!N69,"是","否")</f>
        <v>是</v>
      </c>
    </row>
    <row r="70" spans="1:15">
      <c r="A70" t="s">
        <v>289</v>
      </c>
      <c r="B70">
        <v>4</v>
      </c>
      <c r="C70" t="s">
        <v>292</v>
      </c>
      <c r="D70" s="7" t="str">
        <f>int_ai_sample_v2!F70</f>
        <v>neutral</v>
      </c>
      <c r="E70" s="7" t="str">
        <f>人工標注!F70</f>
        <v>neutral</v>
      </c>
      <c r="F70" s="7" t="str">
        <f t="shared" si="6"/>
        <v>是</v>
      </c>
      <c r="G70" s="28">
        <f t="shared" si="7"/>
        <v>0.87</v>
      </c>
      <c r="H70" s="7" t="str">
        <f>IF(int_ai_sample_v2!G70=人工標注!G70,"是","否")</f>
        <v>是</v>
      </c>
      <c r="I70" s="7" t="str">
        <f>IF(int_ai_sample_v2!H70=人工標注!H70,"是","否")</f>
        <v>是</v>
      </c>
      <c r="J70" s="7" t="str">
        <f>IF(int_ai_sample_v2!I70=人工標注!I70,"是","否")</f>
        <v>是</v>
      </c>
      <c r="K70" s="7" t="str">
        <f>IF(int_ai_sample_v2!J70=人工標注!J70,"是","否")</f>
        <v>是</v>
      </c>
      <c r="L70" s="7" t="str">
        <f>IF(int_ai_sample_v2!K70=人工標注!K70,"是","否")</f>
        <v>是</v>
      </c>
      <c r="M70" s="7" t="str">
        <f>IF(int_ai_sample_v2!L70=人工標注!L70,"是","否")</f>
        <v>是</v>
      </c>
      <c r="N70" s="7" t="str">
        <f>IF(int_ai_sample_v2!M70=人工標注!M70,"是","否")</f>
        <v>是</v>
      </c>
      <c r="O70" s="7" t="str">
        <f>IF(int_ai_sample_v2!N70=人工標注!N70,"是","否")</f>
        <v>是</v>
      </c>
    </row>
    <row r="71" spans="1:15">
      <c r="A71" t="s">
        <v>293</v>
      </c>
      <c r="B71">
        <v>2</v>
      </c>
      <c r="C71" t="s">
        <v>296</v>
      </c>
      <c r="D71" s="7" t="str">
        <f>int_ai_sample_v2!F71</f>
        <v>negative</v>
      </c>
      <c r="E71" s="7" t="str">
        <f>人工標注!F71</f>
        <v>negative</v>
      </c>
      <c r="F71" s="7" t="str">
        <f t="shared" si="6"/>
        <v>是</v>
      </c>
      <c r="G71" s="28">
        <f t="shared" si="7"/>
        <v>0.87</v>
      </c>
      <c r="H71" s="7" t="str">
        <f>IF(int_ai_sample_v2!G71=人工標注!G71,"是","否")</f>
        <v>是</v>
      </c>
      <c r="I71" s="7" t="str">
        <f>IF(int_ai_sample_v2!H71=人工標注!H71,"是","否")</f>
        <v>是</v>
      </c>
      <c r="J71" s="7" t="str">
        <f>IF(int_ai_sample_v2!I71=人工標注!I71,"是","否")</f>
        <v>是</v>
      </c>
      <c r="K71" s="7" t="str">
        <f>IF(int_ai_sample_v2!J71=人工標注!J71,"是","否")</f>
        <v>否</v>
      </c>
      <c r="L71" s="7" t="str">
        <f>IF(int_ai_sample_v2!K71=人工標注!K71,"是","否")</f>
        <v>是</v>
      </c>
      <c r="M71" s="7" t="str">
        <f>IF(int_ai_sample_v2!L71=人工標注!L71,"是","否")</f>
        <v>否</v>
      </c>
      <c r="N71" s="7" t="str">
        <f>IF(int_ai_sample_v2!M71=人工標注!M71,"是","否")</f>
        <v>是</v>
      </c>
      <c r="O71" s="7" t="str">
        <f>IF(int_ai_sample_v2!N71=人工標注!N71,"是","否")</f>
        <v>是</v>
      </c>
    </row>
    <row r="72" spans="1:15">
      <c r="A72" t="s">
        <v>297</v>
      </c>
      <c r="B72">
        <v>2</v>
      </c>
      <c r="C72" t="s">
        <v>300</v>
      </c>
      <c r="D72" s="7" t="str">
        <f>int_ai_sample_v2!F72</f>
        <v>negative</v>
      </c>
      <c r="E72" s="7" t="str">
        <f>人工標注!F72</f>
        <v>negative</v>
      </c>
      <c r="F72" s="7" t="str">
        <f t="shared" si="6"/>
        <v>是</v>
      </c>
      <c r="G72" s="28">
        <f t="shared" si="7"/>
        <v>0.87</v>
      </c>
      <c r="H72" s="7" t="str">
        <f>IF(int_ai_sample_v2!G72=人工標注!G72,"是","否")</f>
        <v>是</v>
      </c>
      <c r="I72" s="7" t="str">
        <f>IF(int_ai_sample_v2!H72=人工標注!H72,"是","否")</f>
        <v>是</v>
      </c>
      <c r="J72" s="7" t="str">
        <f>IF(int_ai_sample_v2!I72=人工標注!I72,"是","否")</f>
        <v>是</v>
      </c>
      <c r="K72" s="7" t="str">
        <f>IF(int_ai_sample_v2!J72=人工標注!J72,"是","否")</f>
        <v>是</v>
      </c>
      <c r="L72" s="7" t="str">
        <f>IF(int_ai_sample_v2!K72=人工標注!K72,"是","否")</f>
        <v>是</v>
      </c>
      <c r="M72" s="7" t="str">
        <f>IF(int_ai_sample_v2!L72=人工標注!L72,"是","否")</f>
        <v>否</v>
      </c>
      <c r="N72" s="7" t="str">
        <f>IF(int_ai_sample_v2!M72=人工標注!M72,"是","否")</f>
        <v>是</v>
      </c>
      <c r="O72" s="7" t="str">
        <f>IF(int_ai_sample_v2!N72=人工標注!N72,"是","否")</f>
        <v>是</v>
      </c>
    </row>
    <row r="73" spans="1:15">
      <c r="A73" t="s">
        <v>301</v>
      </c>
      <c r="B73">
        <v>1</v>
      </c>
      <c r="C73" t="s">
        <v>304</v>
      </c>
      <c r="D73" s="7" t="str">
        <f>int_ai_sample_v2!F73</f>
        <v>negative</v>
      </c>
      <c r="E73" s="7" t="str">
        <f>人工標注!F73</f>
        <v>negative</v>
      </c>
      <c r="F73" s="7" t="str">
        <f t="shared" si="6"/>
        <v>是</v>
      </c>
      <c r="G73" s="28">
        <f t="shared" si="7"/>
        <v>0.87</v>
      </c>
      <c r="H73" s="7" t="str">
        <f>IF(int_ai_sample_v2!G73=人工標注!G73,"是","否")</f>
        <v>是</v>
      </c>
      <c r="I73" s="7" t="str">
        <f>IF(int_ai_sample_v2!H73=人工標注!H73,"是","否")</f>
        <v>是</v>
      </c>
      <c r="J73" s="7" t="str">
        <f>IF(int_ai_sample_v2!I73=人工標注!I73,"是","否")</f>
        <v>是</v>
      </c>
      <c r="K73" s="7" t="str">
        <f>IF(int_ai_sample_v2!J73=人工標注!J73,"是","否")</f>
        <v>是</v>
      </c>
      <c r="L73" s="7" t="str">
        <f>IF(int_ai_sample_v2!K73=人工標注!K73,"是","否")</f>
        <v>是</v>
      </c>
      <c r="M73" s="7" t="str">
        <f>IF(int_ai_sample_v2!L73=人工標注!L73,"是","否")</f>
        <v>是</v>
      </c>
      <c r="N73" s="7" t="str">
        <f>IF(int_ai_sample_v2!M73=人工標注!M73,"是","否")</f>
        <v>是</v>
      </c>
      <c r="O73" s="7" t="str">
        <f>IF(int_ai_sample_v2!N73=人工標注!N73,"是","否")</f>
        <v>是</v>
      </c>
    </row>
    <row r="74" spans="1:15">
      <c r="A74" t="s">
        <v>305</v>
      </c>
      <c r="B74">
        <v>5</v>
      </c>
      <c r="C74" t="s">
        <v>308</v>
      </c>
      <c r="D74" s="7" t="str">
        <f>int_ai_sample_v2!F74</f>
        <v>positive</v>
      </c>
      <c r="E74" s="7" t="str">
        <f>人工標注!F74</f>
        <v>positive</v>
      </c>
      <c r="F74" s="7" t="str">
        <f t="shared" si="6"/>
        <v>是</v>
      </c>
      <c r="G74" s="28">
        <f t="shared" si="7"/>
        <v>0.87</v>
      </c>
      <c r="H74" s="7" t="str">
        <f>IF(int_ai_sample_v2!G74=人工標注!G74,"是","否")</f>
        <v>是</v>
      </c>
      <c r="I74" s="7" t="str">
        <f>IF(int_ai_sample_v2!H74=人工標注!H74,"是","否")</f>
        <v>是</v>
      </c>
      <c r="J74" s="7" t="str">
        <f>IF(int_ai_sample_v2!I74=人工標注!I74,"是","否")</f>
        <v>是</v>
      </c>
      <c r="K74" s="7" t="str">
        <f>IF(int_ai_sample_v2!J74=人工標注!J74,"是","否")</f>
        <v>是</v>
      </c>
      <c r="L74" s="7" t="str">
        <f>IF(int_ai_sample_v2!K74=人工標注!K74,"是","否")</f>
        <v>是</v>
      </c>
      <c r="M74" s="7" t="str">
        <f>IF(int_ai_sample_v2!L74=人工標注!L74,"是","否")</f>
        <v>是</v>
      </c>
      <c r="N74" s="7" t="str">
        <f>IF(int_ai_sample_v2!M74=人工標注!M74,"是","否")</f>
        <v>是</v>
      </c>
      <c r="O74" s="7" t="str">
        <f>IF(int_ai_sample_v2!N74=人工標注!N74,"是","否")</f>
        <v>是</v>
      </c>
    </row>
    <row r="75" spans="1:15">
      <c r="A75" t="s">
        <v>309</v>
      </c>
      <c r="B75">
        <v>3</v>
      </c>
      <c r="C75" t="s">
        <v>312</v>
      </c>
      <c r="D75" s="7" t="str">
        <f>int_ai_sample_v2!F75</f>
        <v>mixed</v>
      </c>
      <c r="E75" s="7" t="str">
        <f>人工標注!F75</f>
        <v>mixed</v>
      </c>
      <c r="F75" s="7" t="str">
        <f t="shared" si="6"/>
        <v>是</v>
      </c>
      <c r="G75" s="28">
        <f t="shared" si="7"/>
        <v>0.87</v>
      </c>
      <c r="H75" s="7" t="str">
        <f>IF(int_ai_sample_v2!G75=人工標注!G75,"是","否")</f>
        <v>是</v>
      </c>
      <c r="I75" s="7" t="str">
        <f>IF(int_ai_sample_v2!H75=人工標注!H75,"是","否")</f>
        <v>是</v>
      </c>
      <c r="J75" s="7" t="str">
        <f>IF(int_ai_sample_v2!I75=人工標注!I75,"是","否")</f>
        <v>是</v>
      </c>
      <c r="K75" s="7" t="str">
        <f>IF(int_ai_sample_v2!J75=人工標注!J75,"是","否")</f>
        <v>是</v>
      </c>
      <c r="L75" s="7" t="str">
        <f>IF(int_ai_sample_v2!K75=人工標注!K75,"是","否")</f>
        <v>是</v>
      </c>
      <c r="M75" s="7" t="str">
        <f>IF(int_ai_sample_v2!L75=人工標注!L75,"是","否")</f>
        <v>是</v>
      </c>
      <c r="N75" s="7" t="str">
        <f>IF(int_ai_sample_v2!M75=人工標注!M75,"是","否")</f>
        <v>是</v>
      </c>
      <c r="O75" s="7" t="str">
        <f>IF(int_ai_sample_v2!N75=人工標注!N75,"是","否")</f>
        <v>是</v>
      </c>
    </row>
    <row r="76" spans="1:15">
      <c r="A76" t="s">
        <v>313</v>
      </c>
      <c r="B76">
        <v>1</v>
      </c>
      <c r="C76" t="s">
        <v>316</v>
      </c>
      <c r="D76" s="7" t="str">
        <f>int_ai_sample_v2!F76</f>
        <v>negative</v>
      </c>
      <c r="E76" s="7" t="str">
        <f>人工標注!F76</f>
        <v>negative</v>
      </c>
      <c r="F76" s="7" t="str">
        <f t="shared" si="6"/>
        <v>是</v>
      </c>
      <c r="G76" s="28">
        <f t="shared" si="7"/>
        <v>0.87</v>
      </c>
      <c r="H76" s="7" t="str">
        <f>IF(int_ai_sample_v2!G76=人工標注!G76,"是","否")</f>
        <v>是</v>
      </c>
      <c r="I76" s="7" t="str">
        <f>IF(int_ai_sample_v2!H76=人工標注!H76,"是","否")</f>
        <v>是</v>
      </c>
      <c r="J76" s="7" t="str">
        <f>IF(int_ai_sample_v2!I76=人工標注!I76,"是","否")</f>
        <v>是</v>
      </c>
      <c r="K76" s="7" t="str">
        <f>IF(int_ai_sample_v2!J76=人工標注!J76,"是","否")</f>
        <v>是</v>
      </c>
      <c r="L76" s="7" t="str">
        <f>IF(int_ai_sample_v2!K76=人工標注!K76,"是","否")</f>
        <v>是</v>
      </c>
      <c r="M76" s="7" t="str">
        <f>IF(int_ai_sample_v2!L76=人工標注!L76,"是","否")</f>
        <v>是</v>
      </c>
      <c r="N76" s="7" t="str">
        <f>IF(int_ai_sample_v2!M76=人工標注!M76,"是","否")</f>
        <v>是</v>
      </c>
      <c r="O76" s="7" t="str">
        <f>IF(int_ai_sample_v2!N76=人工標注!N76,"是","否")</f>
        <v>是</v>
      </c>
    </row>
    <row r="77" spans="1:15">
      <c r="A77" t="s">
        <v>317</v>
      </c>
      <c r="B77">
        <v>4</v>
      </c>
      <c r="C77" t="s">
        <v>320</v>
      </c>
      <c r="D77" s="7" t="str">
        <f>int_ai_sample_v2!F77</f>
        <v>positive</v>
      </c>
      <c r="E77" s="7" t="str">
        <f>人工標注!F77</f>
        <v>positive</v>
      </c>
      <c r="F77" s="7" t="str">
        <f t="shared" si="6"/>
        <v>是</v>
      </c>
      <c r="G77" s="28">
        <f t="shared" si="7"/>
        <v>0.87</v>
      </c>
      <c r="H77" s="7" t="str">
        <f>IF(int_ai_sample_v2!G77=人工標注!G77,"是","否")</f>
        <v>是</v>
      </c>
      <c r="I77" s="7" t="str">
        <f>IF(int_ai_sample_v2!H77=人工標注!H77,"是","否")</f>
        <v>是</v>
      </c>
      <c r="J77" s="7" t="str">
        <f>IF(int_ai_sample_v2!I77=人工標注!I77,"是","否")</f>
        <v>否</v>
      </c>
      <c r="K77" s="7" t="str">
        <f>IF(int_ai_sample_v2!J77=人工標注!J77,"是","否")</f>
        <v>是</v>
      </c>
      <c r="L77" s="7" t="str">
        <f>IF(int_ai_sample_v2!K77=人工標注!K77,"是","否")</f>
        <v>是</v>
      </c>
      <c r="M77" s="7" t="str">
        <f>IF(int_ai_sample_v2!L77=人工標注!L77,"是","否")</f>
        <v>是</v>
      </c>
      <c r="N77" s="7" t="str">
        <f>IF(int_ai_sample_v2!M77=人工標注!M77,"是","否")</f>
        <v>是</v>
      </c>
      <c r="O77" s="7" t="str">
        <f>IF(int_ai_sample_v2!N77=人工標注!N77,"是","否")</f>
        <v>是</v>
      </c>
    </row>
    <row r="78" spans="1:15">
      <c r="A78" t="s">
        <v>321</v>
      </c>
      <c r="B78">
        <v>1</v>
      </c>
      <c r="C78" t="s">
        <v>324</v>
      </c>
      <c r="D78" s="7" t="str">
        <f>int_ai_sample_v2!F78</f>
        <v>negative</v>
      </c>
      <c r="E78" s="7" t="str">
        <f>人工標注!F78</f>
        <v>negative</v>
      </c>
      <c r="F78" s="7" t="str">
        <f t="shared" si="6"/>
        <v>是</v>
      </c>
      <c r="G78" s="28">
        <f t="shared" si="7"/>
        <v>0.87</v>
      </c>
      <c r="H78" s="7" t="str">
        <f>IF(int_ai_sample_v2!G78=人工標注!G78,"是","否")</f>
        <v>是</v>
      </c>
      <c r="I78" s="7" t="str">
        <f>IF(int_ai_sample_v2!H78=人工標注!H78,"是","否")</f>
        <v>是</v>
      </c>
      <c r="J78" s="7" t="str">
        <f>IF(int_ai_sample_v2!I78=人工標注!I78,"是","否")</f>
        <v>是</v>
      </c>
      <c r="K78" s="7" t="str">
        <f>IF(int_ai_sample_v2!J78=人工標注!J78,"是","否")</f>
        <v>是</v>
      </c>
      <c r="L78" s="7" t="str">
        <f>IF(int_ai_sample_v2!K78=人工標注!K78,"是","否")</f>
        <v>是</v>
      </c>
      <c r="M78" s="7" t="str">
        <f>IF(int_ai_sample_v2!L78=人工標注!L78,"是","否")</f>
        <v>是</v>
      </c>
      <c r="N78" s="7" t="str">
        <f>IF(int_ai_sample_v2!M78=人工標注!M78,"是","否")</f>
        <v>是</v>
      </c>
      <c r="O78" s="7" t="str">
        <f>IF(int_ai_sample_v2!N78=人工標注!N78,"是","否")</f>
        <v>是</v>
      </c>
    </row>
    <row r="79" spans="1:15">
      <c r="A79" t="s">
        <v>325</v>
      </c>
      <c r="B79">
        <v>3</v>
      </c>
      <c r="C79" t="s">
        <v>328</v>
      </c>
      <c r="D79" s="7" t="str">
        <f>int_ai_sample_v2!F79</f>
        <v>negative</v>
      </c>
      <c r="E79" s="7" t="str">
        <f>人工標注!F79</f>
        <v>negative</v>
      </c>
      <c r="F79" s="7" t="str">
        <f t="shared" si="6"/>
        <v>是</v>
      </c>
      <c r="G79" s="28">
        <f t="shared" si="7"/>
        <v>0.87</v>
      </c>
      <c r="H79" s="7" t="str">
        <f>IF(int_ai_sample_v2!G79=人工標注!G79,"是","否")</f>
        <v>是</v>
      </c>
      <c r="I79" s="7" t="str">
        <f>IF(int_ai_sample_v2!H79=人工標注!H79,"是","否")</f>
        <v>是</v>
      </c>
      <c r="J79" s="7" t="str">
        <f>IF(int_ai_sample_v2!I79=人工標注!I79,"是","否")</f>
        <v>是</v>
      </c>
      <c r="K79" s="7" t="str">
        <f>IF(int_ai_sample_v2!J79=人工標注!J79,"是","否")</f>
        <v>是</v>
      </c>
      <c r="L79" s="7" t="str">
        <f>IF(int_ai_sample_v2!K79=人工標注!K79,"是","否")</f>
        <v>是</v>
      </c>
      <c r="M79" s="7" t="str">
        <f>IF(int_ai_sample_v2!L79=人工標注!L79,"是","否")</f>
        <v>是</v>
      </c>
      <c r="N79" s="7" t="str">
        <f>IF(int_ai_sample_v2!M79=人工標注!M79,"是","否")</f>
        <v>是</v>
      </c>
      <c r="O79" s="7" t="str">
        <f>IF(int_ai_sample_v2!N79=人工標注!N79,"是","否")</f>
        <v>是</v>
      </c>
    </row>
    <row r="80" spans="1:15">
      <c r="A80" t="s">
        <v>329</v>
      </c>
      <c r="B80">
        <v>2</v>
      </c>
      <c r="C80" t="s">
        <v>332</v>
      </c>
      <c r="D80" s="7" t="str">
        <f>int_ai_sample_v2!F80</f>
        <v>negative</v>
      </c>
      <c r="E80" s="7" t="str">
        <f>人工標注!F80</f>
        <v>negative</v>
      </c>
      <c r="F80" s="7" t="str">
        <f t="shared" si="6"/>
        <v>是</v>
      </c>
      <c r="G80" s="28">
        <f t="shared" si="7"/>
        <v>0.87</v>
      </c>
      <c r="H80" s="7" t="str">
        <f>IF(int_ai_sample_v2!G80=人工標注!G80,"是","否")</f>
        <v>是</v>
      </c>
      <c r="I80" s="7" t="str">
        <f>IF(int_ai_sample_v2!H80=人工標注!H80,"是","否")</f>
        <v>是</v>
      </c>
      <c r="J80" s="7" t="str">
        <f>IF(int_ai_sample_v2!I80=人工標注!I80,"是","否")</f>
        <v>是</v>
      </c>
      <c r="K80" s="7" t="str">
        <f>IF(int_ai_sample_v2!J80=人工標注!J80,"是","否")</f>
        <v>是</v>
      </c>
      <c r="L80" s="7" t="str">
        <f>IF(int_ai_sample_v2!K80=人工標注!K80,"是","否")</f>
        <v>是</v>
      </c>
      <c r="M80" s="7" t="str">
        <f>IF(int_ai_sample_v2!L80=人工標注!L80,"是","否")</f>
        <v>是</v>
      </c>
      <c r="N80" s="7" t="str">
        <f>IF(int_ai_sample_v2!M80=人工標注!M80,"是","否")</f>
        <v>否</v>
      </c>
      <c r="O80" s="7" t="str">
        <f>IF(int_ai_sample_v2!N80=人工標注!N80,"是","否")</f>
        <v>是</v>
      </c>
    </row>
    <row r="81" spans="1:15">
      <c r="A81" t="s">
        <v>333</v>
      </c>
      <c r="B81">
        <v>2</v>
      </c>
      <c r="C81" t="s">
        <v>336</v>
      </c>
      <c r="D81" s="7" t="str">
        <f>int_ai_sample_v2!F81</f>
        <v>negative</v>
      </c>
      <c r="E81" s="7" t="str">
        <f>人工標注!F81</f>
        <v>negative</v>
      </c>
      <c r="F81" s="7" t="str">
        <f t="shared" si="6"/>
        <v>是</v>
      </c>
      <c r="G81" s="28">
        <f t="shared" si="7"/>
        <v>0.87</v>
      </c>
      <c r="H81" s="7" t="str">
        <f>IF(int_ai_sample_v2!G81=人工標注!G81,"是","否")</f>
        <v>是</v>
      </c>
      <c r="I81" s="7" t="str">
        <f>IF(int_ai_sample_v2!H81=人工標注!H81,"是","否")</f>
        <v>是</v>
      </c>
      <c r="J81" s="7" t="str">
        <f>IF(int_ai_sample_v2!I81=人工標注!I81,"是","否")</f>
        <v>否</v>
      </c>
      <c r="K81" s="7" t="str">
        <f>IF(int_ai_sample_v2!J81=人工標注!J81,"是","否")</f>
        <v>是</v>
      </c>
      <c r="L81" s="7" t="str">
        <f>IF(int_ai_sample_v2!K81=人工標注!K81,"是","否")</f>
        <v>是</v>
      </c>
      <c r="M81" s="7" t="str">
        <f>IF(int_ai_sample_v2!L81=人工標注!L81,"是","否")</f>
        <v>否</v>
      </c>
      <c r="N81" s="7" t="str">
        <f>IF(int_ai_sample_v2!M81=人工標注!M81,"是","否")</f>
        <v>是</v>
      </c>
      <c r="O81" s="7" t="str">
        <f>IF(int_ai_sample_v2!N81=人工標注!N81,"是","否")</f>
        <v>是</v>
      </c>
    </row>
    <row r="82" spans="1:15">
      <c r="A82" t="s">
        <v>337</v>
      </c>
      <c r="B82">
        <v>3</v>
      </c>
      <c r="C82" t="s">
        <v>340</v>
      </c>
      <c r="D82" s="7" t="str">
        <f>int_ai_sample_v2!F82</f>
        <v>positive</v>
      </c>
      <c r="E82" s="7" t="str">
        <f>人工標注!F82</f>
        <v>neutral</v>
      </c>
      <c r="F82" s="7" t="str">
        <f t="shared" si="6"/>
        <v>否</v>
      </c>
      <c r="G82" s="28">
        <f t="shared" si="7"/>
        <v>0.87</v>
      </c>
      <c r="H82" s="7" t="str">
        <f>IF(int_ai_sample_v2!G82=人工標注!G82,"是","否")</f>
        <v>是</v>
      </c>
      <c r="I82" s="7" t="str">
        <f>IF(int_ai_sample_v2!H82=人工標注!H82,"是","否")</f>
        <v>是</v>
      </c>
      <c r="J82" s="7" t="str">
        <f>IF(int_ai_sample_v2!I82=人工標注!I82,"是","否")</f>
        <v>是</v>
      </c>
      <c r="K82" s="7" t="str">
        <f>IF(int_ai_sample_v2!J82=人工標注!J82,"是","否")</f>
        <v>是</v>
      </c>
      <c r="L82" s="7" t="str">
        <f>IF(int_ai_sample_v2!K82=人工標注!K82,"是","否")</f>
        <v>是</v>
      </c>
      <c r="M82" s="7" t="str">
        <f>IF(int_ai_sample_v2!L82=人工標注!L82,"是","否")</f>
        <v>是</v>
      </c>
      <c r="N82" s="7" t="str">
        <f>IF(int_ai_sample_v2!M82=人工標注!M82,"是","否")</f>
        <v>是</v>
      </c>
      <c r="O82" s="7" t="str">
        <f>IF(int_ai_sample_v2!N82=人工標注!N82,"是","否")</f>
        <v>是</v>
      </c>
    </row>
    <row r="83" spans="1:15">
      <c r="A83" t="s">
        <v>341</v>
      </c>
      <c r="B83">
        <v>2</v>
      </c>
      <c r="C83" t="s">
        <v>344</v>
      </c>
      <c r="D83" s="7" t="str">
        <f>int_ai_sample_v2!F83</f>
        <v>negative</v>
      </c>
      <c r="E83" s="7" t="str">
        <f>人工標注!F83</f>
        <v>negative</v>
      </c>
      <c r="F83" s="7" t="str">
        <f t="shared" si="6"/>
        <v>是</v>
      </c>
      <c r="G83" s="28">
        <f t="shared" si="7"/>
        <v>0.87</v>
      </c>
      <c r="H83" s="7" t="str">
        <f>IF(int_ai_sample_v2!G83=人工標注!G83,"是","否")</f>
        <v>是</v>
      </c>
      <c r="I83" s="7" t="str">
        <f>IF(int_ai_sample_v2!H83=人工標注!H83,"是","否")</f>
        <v>是</v>
      </c>
      <c r="J83" s="7" t="str">
        <f>IF(int_ai_sample_v2!I83=人工標注!I83,"是","否")</f>
        <v>是</v>
      </c>
      <c r="K83" s="7" t="str">
        <f>IF(int_ai_sample_v2!J83=人工標注!J83,"是","否")</f>
        <v>否</v>
      </c>
      <c r="L83" s="7" t="str">
        <f>IF(int_ai_sample_v2!K83=人工標注!K83,"是","否")</f>
        <v>是</v>
      </c>
      <c r="M83" s="7" t="str">
        <f>IF(int_ai_sample_v2!L83=人工標注!L83,"是","否")</f>
        <v>否</v>
      </c>
      <c r="N83" s="7" t="str">
        <f>IF(int_ai_sample_v2!M83=人工標注!M83,"是","否")</f>
        <v>是</v>
      </c>
      <c r="O83" s="7" t="str">
        <f>IF(int_ai_sample_v2!N83=人工標注!N83,"是","否")</f>
        <v>是</v>
      </c>
    </row>
    <row r="84" spans="1:15">
      <c r="A84" t="s">
        <v>345</v>
      </c>
      <c r="B84">
        <v>1</v>
      </c>
      <c r="C84" t="s">
        <v>348</v>
      </c>
      <c r="D84" s="7" t="str">
        <f>int_ai_sample_v2!F84</f>
        <v>neutral</v>
      </c>
      <c r="E84" s="7" t="str">
        <f>人工標注!F84</f>
        <v>negative</v>
      </c>
      <c r="F84" s="7" t="str">
        <f t="shared" si="6"/>
        <v>否</v>
      </c>
      <c r="G84" s="28">
        <f t="shared" si="7"/>
        <v>0.87</v>
      </c>
      <c r="H84" s="7" t="str">
        <f>IF(int_ai_sample_v2!G84=人工標注!G84,"是","否")</f>
        <v>是</v>
      </c>
      <c r="I84" s="7" t="str">
        <f>IF(int_ai_sample_v2!H84=人工標注!H84,"是","否")</f>
        <v>是</v>
      </c>
      <c r="J84" s="7" t="str">
        <f>IF(int_ai_sample_v2!I84=人工標注!I84,"是","否")</f>
        <v>是</v>
      </c>
      <c r="K84" s="7" t="str">
        <f>IF(int_ai_sample_v2!J84=人工標注!J84,"是","否")</f>
        <v>是</v>
      </c>
      <c r="L84" s="7" t="str">
        <f>IF(int_ai_sample_v2!K84=人工標注!K84,"是","否")</f>
        <v>是</v>
      </c>
      <c r="M84" s="7" t="str">
        <f>IF(int_ai_sample_v2!L84=人工標注!L84,"是","否")</f>
        <v>是</v>
      </c>
      <c r="N84" s="7" t="str">
        <f>IF(int_ai_sample_v2!M84=人工標注!M84,"是","否")</f>
        <v>是</v>
      </c>
      <c r="O84" s="7" t="str">
        <f>IF(int_ai_sample_v2!N84=人工標注!N84,"是","否")</f>
        <v>是</v>
      </c>
    </row>
    <row r="85" spans="1:15">
      <c r="A85" t="s">
        <v>349</v>
      </c>
      <c r="B85">
        <v>5</v>
      </c>
      <c r="C85" t="s">
        <v>352</v>
      </c>
      <c r="D85" s="7" t="str">
        <f>int_ai_sample_v2!F85</f>
        <v>positive</v>
      </c>
      <c r="E85" s="7" t="str">
        <f>人工標注!F85</f>
        <v>positive</v>
      </c>
      <c r="F85" s="7" t="str">
        <f t="shared" si="6"/>
        <v>是</v>
      </c>
      <c r="G85" s="28">
        <f t="shared" si="7"/>
        <v>0.87</v>
      </c>
      <c r="H85" s="7" t="str">
        <f>IF(int_ai_sample_v2!G85=人工標注!G85,"是","否")</f>
        <v>是</v>
      </c>
      <c r="I85" s="7" t="str">
        <f>IF(int_ai_sample_v2!H85=人工標注!H85,"是","否")</f>
        <v>是</v>
      </c>
      <c r="J85" s="7" t="str">
        <f>IF(int_ai_sample_v2!I85=人工標注!I85,"是","否")</f>
        <v>是</v>
      </c>
      <c r="K85" s="7" t="str">
        <f>IF(int_ai_sample_v2!J85=人工標注!J85,"是","否")</f>
        <v>是</v>
      </c>
      <c r="L85" s="7" t="str">
        <f>IF(int_ai_sample_v2!K85=人工標注!K85,"是","否")</f>
        <v>是</v>
      </c>
      <c r="M85" s="7" t="str">
        <f>IF(int_ai_sample_v2!L85=人工標注!L85,"是","否")</f>
        <v>是</v>
      </c>
      <c r="N85" s="7" t="str">
        <f>IF(int_ai_sample_v2!M85=人工標注!M85,"是","否")</f>
        <v>是</v>
      </c>
      <c r="O85" s="7" t="str">
        <f>IF(int_ai_sample_v2!N85=人工標注!N85,"是","否")</f>
        <v>是</v>
      </c>
    </row>
    <row r="86" spans="1:15">
      <c r="A86" t="s">
        <v>353</v>
      </c>
      <c r="B86">
        <v>5</v>
      </c>
      <c r="C86" t="s">
        <v>356</v>
      </c>
      <c r="D86" s="7" t="str">
        <f>int_ai_sample_v2!F86</f>
        <v>positive</v>
      </c>
      <c r="E86" s="7" t="str">
        <f>人工標注!F86</f>
        <v>positive</v>
      </c>
      <c r="F86" s="7" t="str">
        <f t="shared" si="6"/>
        <v>是</v>
      </c>
      <c r="G86" s="28">
        <f t="shared" si="7"/>
        <v>0.87</v>
      </c>
      <c r="H86" s="7" t="str">
        <f>IF(int_ai_sample_v2!G86=人工標注!G86,"是","否")</f>
        <v>是</v>
      </c>
      <c r="I86" s="7" t="str">
        <f>IF(int_ai_sample_v2!H86=人工標注!H86,"是","否")</f>
        <v>是</v>
      </c>
      <c r="J86" s="7" t="str">
        <f>IF(int_ai_sample_v2!I86=人工標注!I86,"是","否")</f>
        <v>是</v>
      </c>
      <c r="K86" s="7" t="str">
        <f>IF(int_ai_sample_v2!J86=人工標注!J86,"是","否")</f>
        <v>是</v>
      </c>
      <c r="L86" s="7" t="str">
        <f>IF(int_ai_sample_v2!K86=人工標注!K86,"是","否")</f>
        <v>是</v>
      </c>
      <c r="M86" s="7" t="str">
        <f>IF(int_ai_sample_v2!L86=人工標注!L86,"是","否")</f>
        <v>是</v>
      </c>
      <c r="N86" s="7" t="str">
        <f>IF(int_ai_sample_v2!M86=人工標注!M86,"是","否")</f>
        <v>是</v>
      </c>
      <c r="O86" s="7" t="str">
        <f>IF(int_ai_sample_v2!N86=人工標注!N86,"是","否")</f>
        <v>是</v>
      </c>
    </row>
    <row r="87" spans="1:15">
      <c r="A87" t="s">
        <v>357</v>
      </c>
      <c r="B87">
        <v>4</v>
      </c>
      <c r="C87" t="s">
        <v>360</v>
      </c>
      <c r="D87" s="7" t="str">
        <f>int_ai_sample_v2!F87</f>
        <v>positive</v>
      </c>
      <c r="E87" s="7" t="str">
        <f>人工標注!F87</f>
        <v>positive</v>
      </c>
      <c r="F87" s="7" t="str">
        <f t="shared" si="6"/>
        <v>是</v>
      </c>
      <c r="G87" s="28">
        <f t="shared" si="7"/>
        <v>0.87</v>
      </c>
      <c r="H87" s="7" t="str">
        <f>IF(int_ai_sample_v2!G87=人工標注!G87,"是","否")</f>
        <v>是</v>
      </c>
      <c r="I87" s="7" t="str">
        <f>IF(int_ai_sample_v2!H87=人工標注!H87,"是","否")</f>
        <v>是</v>
      </c>
      <c r="J87" s="7" t="str">
        <f>IF(int_ai_sample_v2!I87=人工標注!I87,"是","否")</f>
        <v>是</v>
      </c>
      <c r="K87" s="7" t="str">
        <f>IF(int_ai_sample_v2!J87=人工標注!J87,"是","否")</f>
        <v>是</v>
      </c>
      <c r="L87" s="7" t="str">
        <f>IF(int_ai_sample_v2!K87=人工標注!K87,"是","否")</f>
        <v>是</v>
      </c>
      <c r="M87" s="7" t="str">
        <f>IF(int_ai_sample_v2!L87=人工標注!L87,"是","否")</f>
        <v>是</v>
      </c>
      <c r="N87" s="7" t="str">
        <f>IF(int_ai_sample_v2!M87=人工標注!M87,"是","否")</f>
        <v>是</v>
      </c>
      <c r="O87" s="7" t="str">
        <f>IF(int_ai_sample_v2!N87=人工標注!N87,"是","否")</f>
        <v>是</v>
      </c>
    </row>
    <row r="88" spans="1:15">
      <c r="A88" t="s">
        <v>361</v>
      </c>
      <c r="B88">
        <v>1</v>
      </c>
      <c r="C88" t="s">
        <v>364</v>
      </c>
      <c r="D88" s="7" t="str">
        <f>int_ai_sample_v2!F88</f>
        <v>negative</v>
      </c>
      <c r="E88" s="7" t="str">
        <f>人工標注!F88</f>
        <v>negative</v>
      </c>
      <c r="F88" s="7" t="str">
        <f t="shared" si="6"/>
        <v>是</v>
      </c>
      <c r="G88" s="28">
        <f t="shared" si="7"/>
        <v>0.87</v>
      </c>
      <c r="H88" s="7" t="str">
        <f>IF(int_ai_sample_v2!G88=人工標注!G88,"是","否")</f>
        <v>是</v>
      </c>
      <c r="I88" s="7" t="str">
        <f>IF(int_ai_sample_v2!H88=人工標注!H88,"是","否")</f>
        <v>是</v>
      </c>
      <c r="J88" s="7" t="str">
        <f>IF(int_ai_sample_v2!I88=人工標注!I88,"是","否")</f>
        <v>是</v>
      </c>
      <c r="K88" s="7" t="str">
        <f>IF(int_ai_sample_v2!J88=人工標注!J88,"是","否")</f>
        <v>否</v>
      </c>
      <c r="L88" s="7" t="str">
        <f>IF(int_ai_sample_v2!K88=人工標注!K88,"是","否")</f>
        <v>是</v>
      </c>
      <c r="M88" s="7" t="str">
        <f>IF(int_ai_sample_v2!L88=人工標注!L88,"是","否")</f>
        <v>否</v>
      </c>
      <c r="N88" s="7" t="str">
        <f>IF(int_ai_sample_v2!M88=人工標注!M88,"是","否")</f>
        <v>是</v>
      </c>
      <c r="O88" s="7" t="str">
        <f>IF(int_ai_sample_v2!N88=人工標注!N88,"是","否")</f>
        <v>否</v>
      </c>
    </row>
    <row r="89" spans="1:15">
      <c r="A89" t="s">
        <v>365</v>
      </c>
      <c r="B89">
        <v>3</v>
      </c>
      <c r="C89" t="s">
        <v>368</v>
      </c>
      <c r="D89" s="7" t="str">
        <f>int_ai_sample_v2!F89</f>
        <v>mixed</v>
      </c>
      <c r="E89" s="7" t="str">
        <f>人工標注!F89</f>
        <v>mixed</v>
      </c>
      <c r="F89" s="7" t="str">
        <f t="shared" si="6"/>
        <v>是</v>
      </c>
      <c r="G89" s="28">
        <f t="shared" si="7"/>
        <v>0.87</v>
      </c>
      <c r="H89" s="7" t="str">
        <f>IF(int_ai_sample_v2!G89=人工標注!G89,"是","否")</f>
        <v>是</v>
      </c>
      <c r="I89" s="7" t="str">
        <f>IF(int_ai_sample_v2!H89=人工標注!H89,"是","否")</f>
        <v>是</v>
      </c>
      <c r="J89" s="7" t="str">
        <f>IF(int_ai_sample_v2!I89=人工標注!I89,"是","否")</f>
        <v>是</v>
      </c>
      <c r="K89" s="7" t="str">
        <f>IF(int_ai_sample_v2!J89=人工標注!J89,"是","否")</f>
        <v>是</v>
      </c>
      <c r="L89" s="7" t="str">
        <f>IF(int_ai_sample_v2!K89=人工標注!K89,"是","否")</f>
        <v>是</v>
      </c>
      <c r="M89" s="7" t="str">
        <f>IF(int_ai_sample_v2!L89=人工標注!L89,"是","否")</f>
        <v>是</v>
      </c>
      <c r="N89" s="7" t="str">
        <f>IF(int_ai_sample_v2!M89=人工標注!M89,"是","否")</f>
        <v>是</v>
      </c>
      <c r="O89" s="7" t="str">
        <f>IF(int_ai_sample_v2!N89=人工標注!N89,"是","否")</f>
        <v>是</v>
      </c>
    </row>
    <row r="90" spans="1:15">
      <c r="A90" t="s">
        <v>369</v>
      </c>
      <c r="B90">
        <v>5</v>
      </c>
      <c r="C90" t="s">
        <v>372</v>
      </c>
      <c r="D90" s="7" t="str">
        <f>int_ai_sample_v2!F90</f>
        <v>positive</v>
      </c>
      <c r="E90" s="7" t="str">
        <f>人工標注!F90</f>
        <v>positive</v>
      </c>
      <c r="F90" s="7" t="str">
        <f t="shared" si="6"/>
        <v>是</v>
      </c>
      <c r="G90" s="28">
        <f t="shared" si="7"/>
        <v>0.87</v>
      </c>
      <c r="H90" s="7" t="str">
        <f>IF(int_ai_sample_v2!G90=人工標注!G90,"是","否")</f>
        <v>是</v>
      </c>
      <c r="I90" s="7" t="str">
        <f>IF(int_ai_sample_v2!H90=人工標注!H90,"是","否")</f>
        <v>是</v>
      </c>
      <c r="J90" s="7" t="str">
        <f>IF(int_ai_sample_v2!I90=人工標注!I90,"是","否")</f>
        <v>是</v>
      </c>
      <c r="K90" s="7" t="str">
        <f>IF(int_ai_sample_v2!J90=人工標注!J90,"是","否")</f>
        <v>是</v>
      </c>
      <c r="L90" s="7" t="str">
        <f>IF(int_ai_sample_v2!K90=人工標注!K90,"是","否")</f>
        <v>是</v>
      </c>
      <c r="M90" s="7" t="str">
        <f>IF(int_ai_sample_v2!L90=人工標注!L90,"是","否")</f>
        <v>是</v>
      </c>
      <c r="N90" s="7" t="str">
        <f>IF(int_ai_sample_v2!M90=人工標注!M90,"是","否")</f>
        <v>是</v>
      </c>
      <c r="O90" s="7" t="str">
        <f>IF(int_ai_sample_v2!N90=人工標注!N90,"是","否")</f>
        <v>是</v>
      </c>
    </row>
    <row r="91" spans="1:15">
      <c r="A91" t="s">
        <v>373</v>
      </c>
      <c r="B91">
        <v>3</v>
      </c>
      <c r="C91" t="s">
        <v>376</v>
      </c>
      <c r="D91" s="7" t="str">
        <f>int_ai_sample_v2!F91</f>
        <v>negative</v>
      </c>
      <c r="E91" s="7" t="str">
        <f>人工標注!F91</f>
        <v>negative</v>
      </c>
      <c r="F91" s="7" t="str">
        <f t="shared" si="6"/>
        <v>是</v>
      </c>
      <c r="G91" s="28">
        <f t="shared" si="7"/>
        <v>0.87</v>
      </c>
      <c r="H91" s="7" t="str">
        <f>IF(int_ai_sample_v2!G91=人工標注!G91,"是","否")</f>
        <v>是</v>
      </c>
      <c r="I91" s="7" t="str">
        <f>IF(int_ai_sample_v2!H91=人工標注!H91,"是","否")</f>
        <v>是</v>
      </c>
      <c r="J91" s="7" t="str">
        <f>IF(int_ai_sample_v2!I91=人工標注!I91,"是","否")</f>
        <v>是</v>
      </c>
      <c r="K91" s="7" t="str">
        <f>IF(int_ai_sample_v2!J91=人工標注!J91,"是","否")</f>
        <v>是</v>
      </c>
      <c r="L91" s="7" t="str">
        <f>IF(int_ai_sample_v2!K91=人工標注!K91,"是","否")</f>
        <v>是</v>
      </c>
      <c r="M91" s="7" t="str">
        <f>IF(int_ai_sample_v2!L91=人工標注!L91,"是","否")</f>
        <v>是</v>
      </c>
      <c r="N91" s="7" t="str">
        <f>IF(int_ai_sample_v2!M91=人工標注!M91,"是","否")</f>
        <v>是</v>
      </c>
      <c r="O91" s="7" t="str">
        <f>IF(int_ai_sample_v2!N91=人工標注!N91,"是","否")</f>
        <v>是</v>
      </c>
    </row>
    <row r="92" spans="1:15">
      <c r="A92" t="s">
        <v>377</v>
      </c>
      <c r="B92">
        <v>2</v>
      </c>
      <c r="C92" t="s">
        <v>380</v>
      </c>
      <c r="D92" s="7" t="str">
        <f>int_ai_sample_v2!F92</f>
        <v>negative</v>
      </c>
      <c r="E92" s="7" t="str">
        <f>人工標注!F92</f>
        <v>negative</v>
      </c>
      <c r="F92" s="7" t="str">
        <f t="shared" si="6"/>
        <v>是</v>
      </c>
      <c r="G92" s="28">
        <f t="shared" si="7"/>
        <v>0.87</v>
      </c>
      <c r="H92" s="7" t="str">
        <f>IF(int_ai_sample_v2!G92=人工標注!G92,"是","否")</f>
        <v>是</v>
      </c>
      <c r="I92" s="7" t="str">
        <f>IF(int_ai_sample_v2!H92=人工標注!H92,"是","否")</f>
        <v>是</v>
      </c>
      <c r="J92" s="7" t="str">
        <f>IF(int_ai_sample_v2!I92=人工標注!I92,"是","否")</f>
        <v>是</v>
      </c>
      <c r="K92" s="7" t="str">
        <f>IF(int_ai_sample_v2!J92=人工標注!J92,"是","否")</f>
        <v>否</v>
      </c>
      <c r="L92" s="7" t="str">
        <f>IF(int_ai_sample_v2!K92=人工標注!K92,"是","否")</f>
        <v>是</v>
      </c>
      <c r="M92" s="7" t="str">
        <f>IF(int_ai_sample_v2!L92=人工標注!L92,"是","否")</f>
        <v>是</v>
      </c>
      <c r="N92" s="7" t="str">
        <f>IF(int_ai_sample_v2!M92=人工標注!M92,"是","否")</f>
        <v>是</v>
      </c>
      <c r="O92" s="7" t="str">
        <f>IF(int_ai_sample_v2!N92=人工標注!N92,"是","否")</f>
        <v>是</v>
      </c>
    </row>
    <row r="93" spans="1:15">
      <c r="A93" t="s">
        <v>381</v>
      </c>
      <c r="B93">
        <v>2</v>
      </c>
      <c r="C93" t="s">
        <v>384</v>
      </c>
      <c r="D93" s="7" t="str">
        <f>int_ai_sample_v2!F93</f>
        <v>negative</v>
      </c>
      <c r="E93" s="7" t="str">
        <f>人工標注!F93</f>
        <v>negative</v>
      </c>
      <c r="F93" s="7" t="str">
        <f t="shared" si="6"/>
        <v>是</v>
      </c>
      <c r="G93" s="28">
        <f t="shared" si="7"/>
        <v>0.87</v>
      </c>
      <c r="H93" s="7" t="str">
        <f>IF(int_ai_sample_v2!G93=人工標注!G93,"是","否")</f>
        <v>是</v>
      </c>
      <c r="I93" s="7" t="str">
        <f>IF(int_ai_sample_v2!H93=人工標注!H93,"是","否")</f>
        <v>是</v>
      </c>
      <c r="J93" s="7" t="str">
        <f>IF(int_ai_sample_v2!I93=人工標注!I93,"是","否")</f>
        <v>是</v>
      </c>
      <c r="K93" s="7" t="str">
        <f>IF(int_ai_sample_v2!J93=人工標注!J93,"是","否")</f>
        <v>是</v>
      </c>
      <c r="L93" s="7" t="str">
        <f>IF(int_ai_sample_v2!K93=人工標注!K93,"是","否")</f>
        <v>是</v>
      </c>
      <c r="M93" s="7" t="str">
        <f>IF(int_ai_sample_v2!L93=人工標注!L93,"是","否")</f>
        <v>是</v>
      </c>
      <c r="N93" s="7" t="str">
        <f>IF(int_ai_sample_v2!M93=人工標注!M93,"是","否")</f>
        <v>是</v>
      </c>
      <c r="O93" s="7" t="str">
        <f>IF(int_ai_sample_v2!N93=人工標注!N93,"是","否")</f>
        <v>是</v>
      </c>
    </row>
    <row r="94" spans="1:15">
      <c r="A94" t="s">
        <v>385</v>
      </c>
      <c r="B94">
        <v>4</v>
      </c>
      <c r="C94" t="s">
        <v>388</v>
      </c>
      <c r="D94" s="7" t="str">
        <f>int_ai_sample_v2!F94</f>
        <v>positive</v>
      </c>
      <c r="E94" s="7" t="str">
        <f>人工標注!F94</f>
        <v>neutral</v>
      </c>
      <c r="F94" s="7" t="str">
        <f t="shared" si="6"/>
        <v>否</v>
      </c>
      <c r="G94" s="28">
        <f t="shared" si="7"/>
        <v>0.87</v>
      </c>
      <c r="H94" s="7" t="str">
        <f>IF(int_ai_sample_v2!G94=人工標注!G94,"是","否")</f>
        <v>是</v>
      </c>
      <c r="I94" s="7" t="str">
        <f>IF(int_ai_sample_v2!H94=人工標注!H94,"是","否")</f>
        <v>是</v>
      </c>
      <c r="J94" s="7" t="str">
        <f>IF(int_ai_sample_v2!I94=人工標注!I94,"是","否")</f>
        <v>是</v>
      </c>
      <c r="K94" s="7" t="str">
        <f>IF(int_ai_sample_v2!J94=人工標注!J94,"是","否")</f>
        <v>是</v>
      </c>
      <c r="L94" s="7" t="str">
        <f>IF(int_ai_sample_v2!K94=人工標注!K94,"是","否")</f>
        <v>是</v>
      </c>
      <c r="M94" s="7" t="str">
        <f>IF(int_ai_sample_v2!L94=人工標注!L94,"是","否")</f>
        <v>是</v>
      </c>
      <c r="N94" s="7" t="str">
        <f>IF(int_ai_sample_v2!M94=人工標注!M94,"是","否")</f>
        <v>是</v>
      </c>
      <c r="O94" s="7" t="str">
        <f>IF(int_ai_sample_v2!N94=人工標注!N94,"是","否")</f>
        <v>是</v>
      </c>
    </row>
    <row r="95" spans="1:15">
      <c r="A95" t="s">
        <v>389</v>
      </c>
      <c r="B95">
        <v>2</v>
      </c>
      <c r="C95" t="s">
        <v>392</v>
      </c>
      <c r="D95" s="7" t="str">
        <f>int_ai_sample_v2!F95</f>
        <v>negative</v>
      </c>
      <c r="E95" s="7" t="str">
        <f>人工標注!F95</f>
        <v>negative</v>
      </c>
      <c r="F95" s="7" t="str">
        <f t="shared" si="6"/>
        <v>是</v>
      </c>
      <c r="G95" s="28">
        <f t="shared" si="7"/>
        <v>0.87</v>
      </c>
      <c r="H95" s="7" t="str">
        <f>IF(int_ai_sample_v2!G95=人工標注!G95,"是","否")</f>
        <v>是</v>
      </c>
      <c r="I95" s="7" t="str">
        <f>IF(int_ai_sample_v2!H95=人工標注!H95,"是","否")</f>
        <v>否</v>
      </c>
      <c r="J95" s="7" t="str">
        <f>IF(int_ai_sample_v2!I95=人工標注!I95,"是","否")</f>
        <v>是</v>
      </c>
      <c r="K95" s="7" t="str">
        <f>IF(int_ai_sample_v2!J95=人工標注!J95,"是","否")</f>
        <v>否</v>
      </c>
      <c r="L95" s="7" t="str">
        <f>IF(int_ai_sample_v2!K95=人工標注!K95,"是","否")</f>
        <v>是</v>
      </c>
      <c r="M95" s="7" t="str">
        <f>IF(int_ai_sample_v2!L95=人工標注!L95,"是","否")</f>
        <v>是</v>
      </c>
      <c r="N95" s="7" t="str">
        <f>IF(int_ai_sample_v2!M95=人工標注!M95,"是","否")</f>
        <v>是</v>
      </c>
      <c r="O95" s="7" t="str">
        <f>IF(int_ai_sample_v2!N95=人工標注!N95,"是","否")</f>
        <v>是</v>
      </c>
    </row>
    <row r="96" spans="1:15">
      <c r="A96" t="s">
        <v>393</v>
      </c>
      <c r="B96">
        <v>2</v>
      </c>
      <c r="C96" t="s">
        <v>396</v>
      </c>
      <c r="D96" s="7" t="str">
        <f>int_ai_sample_v2!F96</f>
        <v>negative</v>
      </c>
      <c r="E96" s="7" t="str">
        <f>人工標注!F96</f>
        <v>negative</v>
      </c>
      <c r="F96" s="7" t="str">
        <f t="shared" si="6"/>
        <v>是</v>
      </c>
      <c r="G96" s="28">
        <f t="shared" si="7"/>
        <v>0.87</v>
      </c>
      <c r="H96" s="7" t="str">
        <f>IF(int_ai_sample_v2!G96=人工標注!G96,"是","否")</f>
        <v>是</v>
      </c>
      <c r="I96" s="7" t="str">
        <f>IF(int_ai_sample_v2!H96=人工標注!H96,"是","否")</f>
        <v>是</v>
      </c>
      <c r="J96" s="7" t="str">
        <f>IF(int_ai_sample_v2!I96=人工標注!I96,"是","否")</f>
        <v>是</v>
      </c>
      <c r="K96" s="7" t="str">
        <f>IF(int_ai_sample_v2!J96=人工標注!J96,"是","否")</f>
        <v>是</v>
      </c>
      <c r="L96" s="7" t="str">
        <f>IF(int_ai_sample_v2!K96=人工標注!K96,"是","否")</f>
        <v>是</v>
      </c>
      <c r="M96" s="7" t="str">
        <f>IF(int_ai_sample_v2!L96=人工標注!L96,"是","否")</f>
        <v>是</v>
      </c>
      <c r="N96" s="7" t="str">
        <f>IF(int_ai_sample_v2!M96=人工標注!M96,"是","否")</f>
        <v>是</v>
      </c>
      <c r="O96" s="7" t="str">
        <f>IF(int_ai_sample_v2!N96=人工標注!N96,"是","否")</f>
        <v>是</v>
      </c>
    </row>
    <row r="97" spans="1:15">
      <c r="A97" t="s">
        <v>397</v>
      </c>
      <c r="B97">
        <v>1</v>
      </c>
      <c r="C97" t="s">
        <v>400</v>
      </c>
      <c r="D97" s="7" t="str">
        <f>int_ai_sample_v2!F97</f>
        <v>neutral</v>
      </c>
      <c r="E97" s="7" t="str">
        <f>人工標注!F97</f>
        <v>negative</v>
      </c>
      <c r="F97" s="7" t="str">
        <f t="shared" si="6"/>
        <v>否</v>
      </c>
      <c r="G97" s="28">
        <f t="shared" si="7"/>
        <v>0.87</v>
      </c>
      <c r="H97" s="7" t="str">
        <f>IF(int_ai_sample_v2!G97=人工標注!G97,"是","否")</f>
        <v>是</v>
      </c>
      <c r="I97" s="7" t="str">
        <f>IF(int_ai_sample_v2!H97=人工標注!H97,"是","否")</f>
        <v>是</v>
      </c>
      <c r="J97" s="7" t="str">
        <f>IF(int_ai_sample_v2!I97=人工標注!I97,"是","否")</f>
        <v>是</v>
      </c>
      <c r="K97" s="7" t="str">
        <f>IF(int_ai_sample_v2!J97=人工標注!J97,"是","否")</f>
        <v>是</v>
      </c>
      <c r="L97" s="7" t="str">
        <f>IF(int_ai_sample_v2!K97=人工標注!K97,"是","否")</f>
        <v>是</v>
      </c>
      <c r="M97" s="7" t="str">
        <f>IF(int_ai_sample_v2!L97=人工標注!L97,"是","否")</f>
        <v>是</v>
      </c>
      <c r="N97" s="7" t="str">
        <f>IF(int_ai_sample_v2!M97=人工標注!M97,"是","否")</f>
        <v>是</v>
      </c>
      <c r="O97" s="7" t="str">
        <f>IF(int_ai_sample_v2!N97=人工標注!N97,"是","否")</f>
        <v>是</v>
      </c>
    </row>
    <row r="98" spans="1:15">
      <c r="A98" t="s">
        <v>401</v>
      </c>
      <c r="B98">
        <v>4</v>
      </c>
      <c r="C98" t="s">
        <v>404</v>
      </c>
      <c r="D98" s="7" t="str">
        <f>int_ai_sample_v2!F98</f>
        <v>positive</v>
      </c>
      <c r="E98" s="7" t="str">
        <f>人工標注!F98</f>
        <v>positive</v>
      </c>
      <c r="F98" s="7" t="str">
        <f t="shared" si="6"/>
        <v>是</v>
      </c>
      <c r="G98" s="28">
        <f t="shared" si="7"/>
        <v>0.87</v>
      </c>
      <c r="H98" s="7" t="str">
        <f>IF(int_ai_sample_v2!G98=人工標注!G98,"是","否")</f>
        <v>是</v>
      </c>
      <c r="I98" s="7" t="str">
        <f>IF(int_ai_sample_v2!H98=人工標注!H98,"是","否")</f>
        <v>是</v>
      </c>
      <c r="J98" s="7" t="str">
        <f>IF(int_ai_sample_v2!I98=人工標注!I98,"是","否")</f>
        <v>是</v>
      </c>
      <c r="K98" s="7" t="str">
        <f>IF(int_ai_sample_v2!J98=人工標注!J98,"是","否")</f>
        <v>是</v>
      </c>
      <c r="L98" s="7" t="str">
        <f>IF(int_ai_sample_v2!K98=人工標注!K98,"是","否")</f>
        <v>是</v>
      </c>
      <c r="M98" s="7" t="str">
        <f>IF(int_ai_sample_v2!L98=人工標注!L98,"是","否")</f>
        <v>是</v>
      </c>
      <c r="N98" s="7" t="str">
        <f>IF(int_ai_sample_v2!M98=人工標注!M98,"是","否")</f>
        <v>是</v>
      </c>
      <c r="O98" s="7" t="str">
        <f>IF(int_ai_sample_v2!N98=人工標注!N98,"是","否")</f>
        <v>是</v>
      </c>
    </row>
    <row r="99" spans="1:15">
      <c r="A99" t="s">
        <v>405</v>
      </c>
      <c r="B99">
        <v>3</v>
      </c>
      <c r="C99" t="s">
        <v>407</v>
      </c>
      <c r="D99" s="7" t="str">
        <f>int_ai_sample_v2!F99</f>
        <v>positive</v>
      </c>
      <c r="E99" s="7" t="str">
        <f>人工標注!F99</f>
        <v>positive</v>
      </c>
      <c r="F99" s="7" t="str">
        <f t="shared" si="6"/>
        <v>是</v>
      </c>
      <c r="G99" s="28">
        <f t="shared" si="7"/>
        <v>0.87</v>
      </c>
      <c r="H99" s="7" t="str">
        <f>IF(int_ai_sample_v2!G99=人工標注!G99,"是","否")</f>
        <v>是</v>
      </c>
      <c r="I99" s="7" t="str">
        <f>IF(int_ai_sample_v2!H99=人工標注!H99,"是","否")</f>
        <v>是</v>
      </c>
      <c r="J99" s="7" t="str">
        <f>IF(int_ai_sample_v2!I99=人工標注!I99,"是","否")</f>
        <v>是</v>
      </c>
      <c r="K99" s="7" t="str">
        <f>IF(int_ai_sample_v2!J99=人工標注!J99,"是","否")</f>
        <v>是</v>
      </c>
      <c r="L99" s="7" t="str">
        <f>IF(int_ai_sample_v2!K99=人工標注!K99,"是","否")</f>
        <v>是</v>
      </c>
      <c r="M99" s="7" t="str">
        <f>IF(int_ai_sample_v2!L99=人工標注!L99,"是","否")</f>
        <v>是</v>
      </c>
      <c r="N99" s="7" t="str">
        <f>IF(int_ai_sample_v2!M99=人工標注!M99,"是","否")</f>
        <v>是</v>
      </c>
      <c r="O99" s="7" t="str">
        <f>IF(int_ai_sample_v2!N99=人工標注!N99,"是","否")</f>
        <v>是</v>
      </c>
    </row>
    <row r="100" spans="1:15">
      <c r="A100" t="s">
        <v>408</v>
      </c>
      <c r="B100">
        <v>4</v>
      </c>
      <c r="C100" t="s">
        <v>411</v>
      </c>
      <c r="D100" s="7" t="str">
        <f>int_ai_sample_v2!F100</f>
        <v>mixed</v>
      </c>
      <c r="E100" s="7" t="str">
        <f>人工標注!F100</f>
        <v>mixed</v>
      </c>
      <c r="F100" s="7" t="str">
        <f t="shared" si="6"/>
        <v>是</v>
      </c>
      <c r="G100" s="28">
        <f t="shared" si="7"/>
        <v>0.87</v>
      </c>
      <c r="H100" s="7" t="str">
        <f>IF(int_ai_sample_v2!G100=人工標注!G100,"是","否")</f>
        <v>是</v>
      </c>
      <c r="I100" s="7" t="str">
        <f>IF(int_ai_sample_v2!H100=人工標注!H100,"是","否")</f>
        <v>否</v>
      </c>
      <c r="J100" s="7" t="str">
        <f>IF(int_ai_sample_v2!I100=人工標注!I100,"是","否")</f>
        <v>是</v>
      </c>
      <c r="K100" s="7" t="str">
        <f>IF(int_ai_sample_v2!J100=人工標注!J100,"是","否")</f>
        <v>是</v>
      </c>
      <c r="L100" s="7" t="str">
        <f>IF(int_ai_sample_v2!K100=人工標注!K100,"是","否")</f>
        <v>是</v>
      </c>
      <c r="M100" s="7" t="str">
        <f>IF(int_ai_sample_v2!L100=人工標注!L100,"是","否")</f>
        <v>是</v>
      </c>
      <c r="N100" s="7" t="str">
        <f>IF(int_ai_sample_v2!M100=人工標注!M100,"是","否")</f>
        <v>是</v>
      </c>
      <c r="O100" s="7" t="str">
        <f>IF(int_ai_sample_v2!N100=人工標注!N100,"是","否")</f>
        <v>是</v>
      </c>
    </row>
    <row r="101" spans="1:15">
      <c r="A101" t="s">
        <v>412</v>
      </c>
      <c r="B101">
        <v>4</v>
      </c>
      <c r="C101" t="s">
        <v>415</v>
      </c>
      <c r="D101" s="7" t="str">
        <f>int_ai_sample_v2!F101</f>
        <v>neutral</v>
      </c>
      <c r="E101" s="7" t="str">
        <f>人工標注!F101</f>
        <v>negative</v>
      </c>
      <c r="F101" s="7" t="str">
        <f t="shared" si="6"/>
        <v>否</v>
      </c>
      <c r="G101" s="28">
        <f t="shared" si="7"/>
        <v>0.87</v>
      </c>
      <c r="H101" s="7" t="str">
        <f>IF(int_ai_sample_v2!G101=人工標注!G101,"是","否")</f>
        <v>是</v>
      </c>
      <c r="I101" s="7" t="str">
        <f>IF(int_ai_sample_v2!H101=人工標注!H101,"是","否")</f>
        <v>是</v>
      </c>
      <c r="J101" s="7" t="str">
        <f>IF(int_ai_sample_v2!I101=人工標注!I101,"是","否")</f>
        <v>是</v>
      </c>
      <c r="K101" s="7" t="str">
        <f>IF(int_ai_sample_v2!J101=人工標注!J101,"是","否")</f>
        <v>是</v>
      </c>
      <c r="L101" s="7" t="str">
        <f>IF(int_ai_sample_v2!K101=人工標注!K101,"是","否")</f>
        <v>是</v>
      </c>
      <c r="M101" s="7" t="str">
        <f>IF(int_ai_sample_v2!L101=人工標注!L101,"是","否")</f>
        <v>是</v>
      </c>
      <c r="N101" s="7" t="str">
        <f>IF(int_ai_sample_v2!M101=人工標注!M101,"是","否")</f>
        <v>是</v>
      </c>
      <c r="O101" s="7" t="str">
        <f>IF(int_ai_sample_v2!N101=人工標注!N101,"是","否")</f>
        <v>是</v>
      </c>
    </row>
  </sheetData>
  <autoFilter ref="A1:O101" xr:uid="{00000000-0001-0000-0200-000000000000}"/>
  <mergeCells count="1">
    <mergeCell ref="R1:Z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int_ai_sample_v2</vt:lpstr>
      <vt:lpstr>人工標注</vt:lpstr>
      <vt:lpstr>AI標注KPI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張凱評</cp:lastModifiedBy>
  <dcterms:modified xsi:type="dcterms:W3CDTF">2026-08-03T12:20:30Z</dcterms:modified>
</cp:coreProperties>
</file>