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aiping/Desktop/olist_project/Data_Understanding/review_analysis/"/>
    </mc:Choice>
  </mc:AlternateContent>
  <xr:revisionPtr revIDLastSave="0" documentId="13_ncr:1_{0B484D9D-D0EE-CA49-BE52-CBB3ABA9B0C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t_ai_sample" sheetId="2" r:id="rId1"/>
    <sheet name="人工標註" sheetId="1" r:id="rId2"/>
    <sheet name="人工標註正確率" sheetId="3" r:id="rId3"/>
  </sheets>
  <definedNames>
    <definedName name="外部資料_1" localSheetId="0" hidden="1">int_ai_sample!$A$1:$N$101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3" l="1"/>
  <c r="N30" i="3"/>
  <c r="M30" i="3"/>
  <c r="L30" i="3"/>
  <c r="K30" i="3"/>
  <c r="J30" i="3"/>
  <c r="I30" i="3"/>
  <c r="H30" i="3"/>
  <c r="E30" i="3"/>
  <c r="D30" i="3"/>
  <c r="F30" i="3" s="1"/>
  <c r="C30" i="3"/>
  <c r="B30" i="3"/>
  <c r="O29" i="3"/>
  <c r="N29" i="3"/>
  <c r="M29" i="3"/>
  <c r="L29" i="3"/>
  <c r="K29" i="3"/>
  <c r="J29" i="3"/>
  <c r="I29" i="3"/>
  <c r="H29" i="3"/>
  <c r="E29" i="3"/>
  <c r="D29" i="3"/>
  <c r="F29" i="3" s="1"/>
  <c r="C29" i="3"/>
  <c r="B29" i="3"/>
  <c r="O28" i="3"/>
  <c r="N28" i="3"/>
  <c r="M28" i="3"/>
  <c r="L28" i="3"/>
  <c r="K28" i="3"/>
  <c r="J28" i="3"/>
  <c r="I28" i="3"/>
  <c r="H28" i="3"/>
  <c r="E28" i="3"/>
  <c r="D28" i="3"/>
  <c r="F28" i="3" s="1"/>
  <c r="C28" i="3"/>
  <c r="B28" i="3"/>
  <c r="O27" i="3"/>
  <c r="N27" i="3"/>
  <c r="M27" i="3"/>
  <c r="L27" i="3"/>
  <c r="K27" i="3"/>
  <c r="J27" i="3"/>
  <c r="I27" i="3"/>
  <c r="H27" i="3"/>
  <c r="E27" i="3"/>
  <c r="D27" i="3"/>
  <c r="F27" i="3" s="1"/>
  <c r="C27" i="3"/>
  <c r="B27" i="3"/>
  <c r="O26" i="3"/>
  <c r="N26" i="3"/>
  <c r="M26" i="3"/>
  <c r="L26" i="3"/>
  <c r="K26" i="3"/>
  <c r="J26" i="3"/>
  <c r="I26" i="3"/>
  <c r="H26" i="3"/>
  <c r="E26" i="3"/>
  <c r="D26" i="3"/>
  <c r="F26" i="3" s="1"/>
  <c r="C26" i="3"/>
  <c r="B26" i="3"/>
  <c r="O25" i="3"/>
  <c r="N25" i="3"/>
  <c r="M25" i="3"/>
  <c r="L25" i="3"/>
  <c r="K25" i="3"/>
  <c r="J25" i="3"/>
  <c r="I25" i="3"/>
  <c r="H25" i="3"/>
  <c r="E25" i="3"/>
  <c r="D25" i="3"/>
  <c r="F25" i="3" s="1"/>
  <c r="C25" i="3"/>
  <c r="B25" i="3"/>
  <c r="O24" i="3"/>
  <c r="N24" i="3"/>
  <c r="M24" i="3"/>
  <c r="L24" i="3"/>
  <c r="K24" i="3"/>
  <c r="J24" i="3"/>
  <c r="I24" i="3"/>
  <c r="H24" i="3"/>
  <c r="E24" i="3"/>
  <c r="D24" i="3"/>
  <c r="F24" i="3" s="1"/>
  <c r="C24" i="3"/>
  <c r="B24" i="3"/>
  <c r="O23" i="3"/>
  <c r="N23" i="3"/>
  <c r="M23" i="3"/>
  <c r="L23" i="3"/>
  <c r="K23" i="3"/>
  <c r="J23" i="3"/>
  <c r="I23" i="3"/>
  <c r="H23" i="3"/>
  <c r="E23" i="3"/>
  <c r="D23" i="3"/>
  <c r="F23" i="3" s="1"/>
  <c r="C23" i="3"/>
  <c r="B23" i="3"/>
  <c r="O22" i="3"/>
  <c r="N22" i="3"/>
  <c r="M22" i="3"/>
  <c r="L22" i="3"/>
  <c r="K22" i="3"/>
  <c r="J22" i="3"/>
  <c r="I22" i="3"/>
  <c r="H22" i="3"/>
  <c r="E22" i="3"/>
  <c r="D22" i="3"/>
  <c r="F22" i="3" s="1"/>
  <c r="C22" i="3"/>
  <c r="B22" i="3"/>
  <c r="O21" i="3"/>
  <c r="N21" i="3"/>
  <c r="M21" i="3"/>
  <c r="L21" i="3"/>
  <c r="K21" i="3"/>
  <c r="J21" i="3"/>
  <c r="I21" i="3"/>
  <c r="H21" i="3"/>
  <c r="E21" i="3"/>
  <c r="D21" i="3"/>
  <c r="F21" i="3" s="1"/>
  <c r="C21" i="3"/>
  <c r="B21" i="3"/>
  <c r="O20" i="3"/>
  <c r="N20" i="3"/>
  <c r="M20" i="3"/>
  <c r="L20" i="3"/>
  <c r="K20" i="3"/>
  <c r="J20" i="3"/>
  <c r="I20" i="3"/>
  <c r="H20" i="3"/>
  <c r="E20" i="3"/>
  <c r="D20" i="3"/>
  <c r="F20" i="3" s="1"/>
  <c r="C20" i="3"/>
  <c r="B20" i="3"/>
  <c r="O19" i="3"/>
  <c r="N19" i="3"/>
  <c r="M19" i="3"/>
  <c r="L19" i="3"/>
  <c r="K19" i="3"/>
  <c r="J19" i="3"/>
  <c r="I19" i="3"/>
  <c r="H19" i="3"/>
  <c r="E19" i="3"/>
  <c r="D19" i="3"/>
  <c r="F19" i="3" s="1"/>
  <c r="C19" i="3"/>
  <c r="B19" i="3"/>
  <c r="O18" i="3"/>
  <c r="N18" i="3"/>
  <c r="M18" i="3"/>
  <c r="L18" i="3"/>
  <c r="K18" i="3"/>
  <c r="J18" i="3"/>
  <c r="I18" i="3"/>
  <c r="H18" i="3"/>
  <c r="E18" i="3"/>
  <c r="D18" i="3"/>
  <c r="F18" i="3" s="1"/>
  <c r="C18" i="3"/>
  <c r="B18" i="3"/>
  <c r="O17" i="3"/>
  <c r="N17" i="3"/>
  <c r="M17" i="3"/>
  <c r="L17" i="3"/>
  <c r="K17" i="3"/>
  <c r="J17" i="3"/>
  <c r="I17" i="3"/>
  <c r="H17" i="3"/>
  <c r="E17" i="3"/>
  <c r="D17" i="3"/>
  <c r="F17" i="3" s="1"/>
  <c r="C17" i="3"/>
  <c r="B17" i="3"/>
  <c r="O16" i="3"/>
  <c r="N16" i="3"/>
  <c r="M16" i="3"/>
  <c r="L16" i="3"/>
  <c r="K16" i="3"/>
  <c r="J16" i="3"/>
  <c r="I16" i="3"/>
  <c r="H16" i="3"/>
  <c r="E16" i="3"/>
  <c r="D16" i="3"/>
  <c r="F16" i="3" s="1"/>
  <c r="C16" i="3"/>
  <c r="B16" i="3"/>
  <c r="O15" i="3"/>
  <c r="N15" i="3"/>
  <c r="M15" i="3"/>
  <c r="L15" i="3"/>
  <c r="K15" i="3"/>
  <c r="J15" i="3"/>
  <c r="I15" i="3"/>
  <c r="H15" i="3"/>
  <c r="E15" i="3"/>
  <c r="D15" i="3"/>
  <c r="F15" i="3" s="1"/>
  <c r="C15" i="3"/>
  <c r="B15" i="3"/>
  <c r="O14" i="3"/>
  <c r="N14" i="3"/>
  <c r="M14" i="3"/>
  <c r="L14" i="3"/>
  <c r="K14" i="3"/>
  <c r="J14" i="3"/>
  <c r="I14" i="3"/>
  <c r="H14" i="3"/>
  <c r="E14" i="3"/>
  <c r="D14" i="3"/>
  <c r="F14" i="3" s="1"/>
  <c r="C14" i="3"/>
  <c r="B14" i="3"/>
  <c r="U13" i="3"/>
  <c r="T13" i="3"/>
  <c r="S13" i="3"/>
  <c r="R13" i="3"/>
  <c r="O13" i="3"/>
  <c r="N13" i="3"/>
  <c r="M13" i="3"/>
  <c r="L13" i="3"/>
  <c r="K13" i="3"/>
  <c r="J13" i="3"/>
  <c r="I13" i="3"/>
  <c r="H13" i="3"/>
  <c r="E13" i="3"/>
  <c r="D13" i="3"/>
  <c r="F13" i="3" s="1"/>
  <c r="C13" i="3"/>
  <c r="B13" i="3"/>
  <c r="U12" i="3"/>
  <c r="T12" i="3"/>
  <c r="S12" i="3"/>
  <c r="R12" i="3"/>
  <c r="O12" i="3"/>
  <c r="N12" i="3"/>
  <c r="M12" i="3"/>
  <c r="L12" i="3"/>
  <c r="K12" i="3"/>
  <c r="J12" i="3"/>
  <c r="I12" i="3"/>
  <c r="H12" i="3"/>
  <c r="E12" i="3"/>
  <c r="D12" i="3"/>
  <c r="F12" i="3" s="1"/>
  <c r="C12" i="3"/>
  <c r="B12" i="3"/>
  <c r="U11" i="3"/>
  <c r="T11" i="3"/>
  <c r="S11" i="3"/>
  <c r="R11" i="3"/>
  <c r="O11" i="3"/>
  <c r="N11" i="3"/>
  <c r="M11" i="3"/>
  <c r="L11" i="3"/>
  <c r="K11" i="3"/>
  <c r="J11" i="3"/>
  <c r="I11" i="3"/>
  <c r="H11" i="3"/>
  <c r="E11" i="3"/>
  <c r="D11" i="3"/>
  <c r="F11" i="3" s="1"/>
  <c r="C11" i="3"/>
  <c r="B11" i="3"/>
  <c r="U10" i="3"/>
  <c r="T10" i="3"/>
  <c r="S10" i="3"/>
  <c r="R10" i="3"/>
  <c r="O10" i="3"/>
  <c r="N10" i="3"/>
  <c r="M10" i="3"/>
  <c r="L10" i="3"/>
  <c r="K10" i="3"/>
  <c r="J10" i="3"/>
  <c r="I10" i="3"/>
  <c r="H10" i="3"/>
  <c r="E10" i="3"/>
  <c r="D10" i="3"/>
  <c r="F10" i="3" s="1"/>
  <c r="C10" i="3"/>
  <c r="B10" i="3"/>
  <c r="U9" i="3"/>
  <c r="U16" i="3" s="1"/>
  <c r="T9" i="3"/>
  <c r="T16" i="3" s="1"/>
  <c r="S9" i="3"/>
  <c r="S16" i="3" s="1"/>
  <c r="R9" i="3"/>
  <c r="O9" i="3"/>
  <c r="N9" i="3"/>
  <c r="M9" i="3"/>
  <c r="L9" i="3"/>
  <c r="K9" i="3"/>
  <c r="J9" i="3"/>
  <c r="I9" i="3"/>
  <c r="H9" i="3"/>
  <c r="E9" i="3"/>
  <c r="D9" i="3"/>
  <c r="F9" i="3" s="1"/>
  <c r="C9" i="3"/>
  <c r="B9" i="3"/>
  <c r="U8" i="3"/>
  <c r="T8" i="3"/>
  <c r="S8" i="3"/>
  <c r="R8" i="3"/>
  <c r="O8" i="3"/>
  <c r="N8" i="3"/>
  <c r="M8" i="3"/>
  <c r="L8" i="3"/>
  <c r="K8" i="3"/>
  <c r="J8" i="3"/>
  <c r="I8" i="3"/>
  <c r="H8" i="3"/>
  <c r="E8" i="3"/>
  <c r="D8" i="3"/>
  <c r="F8" i="3" s="1"/>
  <c r="C8" i="3"/>
  <c r="B8" i="3"/>
  <c r="U7" i="3"/>
  <c r="T7" i="3"/>
  <c r="S7" i="3"/>
  <c r="R7" i="3"/>
  <c r="O7" i="3"/>
  <c r="N7" i="3"/>
  <c r="M7" i="3"/>
  <c r="L7" i="3"/>
  <c r="K7" i="3"/>
  <c r="J7" i="3"/>
  <c r="I7" i="3"/>
  <c r="H7" i="3"/>
  <c r="E7" i="3"/>
  <c r="D7" i="3"/>
  <c r="F7" i="3" s="1"/>
  <c r="C7" i="3"/>
  <c r="B7" i="3"/>
  <c r="U6" i="3"/>
  <c r="T6" i="3"/>
  <c r="S6" i="3"/>
  <c r="R6" i="3"/>
  <c r="O6" i="3"/>
  <c r="N6" i="3"/>
  <c r="M6" i="3"/>
  <c r="L6" i="3"/>
  <c r="K6" i="3"/>
  <c r="J6" i="3"/>
  <c r="I6" i="3"/>
  <c r="H6" i="3"/>
  <c r="E6" i="3"/>
  <c r="D6" i="3"/>
  <c r="F6" i="3" s="1"/>
  <c r="C6" i="3"/>
  <c r="B6" i="3"/>
  <c r="O5" i="3"/>
  <c r="N5" i="3"/>
  <c r="M5" i="3"/>
  <c r="L5" i="3"/>
  <c r="K5" i="3"/>
  <c r="J5" i="3"/>
  <c r="I5" i="3"/>
  <c r="H5" i="3"/>
  <c r="E5" i="3"/>
  <c r="D5" i="3"/>
  <c r="F5" i="3" s="1"/>
  <c r="C5" i="3"/>
  <c r="B5" i="3"/>
  <c r="O4" i="3"/>
  <c r="N4" i="3"/>
  <c r="M4" i="3"/>
  <c r="L4" i="3"/>
  <c r="K4" i="3"/>
  <c r="J4" i="3"/>
  <c r="I4" i="3"/>
  <c r="H4" i="3"/>
  <c r="E4" i="3"/>
  <c r="D4" i="3"/>
  <c r="F4" i="3" s="1"/>
  <c r="C4" i="3"/>
  <c r="B4" i="3"/>
  <c r="O3" i="3"/>
  <c r="N3" i="3"/>
  <c r="M3" i="3"/>
  <c r="L3" i="3"/>
  <c r="K3" i="3"/>
  <c r="J3" i="3"/>
  <c r="I3" i="3"/>
  <c r="H3" i="3"/>
  <c r="E3" i="3"/>
  <c r="D3" i="3"/>
  <c r="F3" i="3" s="1"/>
  <c r="C3" i="3"/>
  <c r="B3" i="3"/>
  <c r="R2" i="3"/>
  <c r="O2" i="3"/>
  <c r="N2" i="3"/>
  <c r="M2" i="3"/>
  <c r="L2" i="3"/>
  <c r="K2" i="3"/>
  <c r="J2" i="3"/>
  <c r="I2" i="3"/>
  <c r="H2" i="3"/>
  <c r="E2" i="3"/>
  <c r="D2" i="3"/>
  <c r="F2" i="3" s="1"/>
  <c r="C2" i="3"/>
  <c r="B2" i="3"/>
  <c r="Y13" i="3" l="1"/>
  <c r="W13" i="3"/>
  <c r="V13" i="3"/>
  <c r="X13" i="3" s="1"/>
  <c r="Y12" i="3"/>
  <c r="V12" i="3"/>
  <c r="X12" i="3" s="1"/>
  <c r="W12" i="3"/>
  <c r="Y11" i="3"/>
  <c r="W11" i="3"/>
  <c r="V11" i="3"/>
  <c r="X11" i="3" s="1"/>
  <c r="Y10" i="3"/>
  <c r="W10" i="3"/>
  <c r="V10" i="3"/>
  <c r="X10" i="3" s="1"/>
  <c r="V9" i="3"/>
  <c r="R16" i="3"/>
  <c r="Y9" i="3"/>
  <c r="W9" i="3"/>
  <c r="V8" i="3"/>
  <c r="W8" i="3"/>
  <c r="Y8" i="3"/>
  <c r="Y7" i="3"/>
  <c r="W7" i="3"/>
  <c r="V7" i="3"/>
  <c r="X7" i="3" s="1"/>
  <c r="Y6" i="3"/>
  <c r="W6" i="3"/>
  <c r="V6" i="3"/>
  <c r="G3" i="3"/>
  <c r="G4" i="3"/>
  <c r="G5" i="3"/>
  <c r="G9" i="3"/>
  <c r="G22" i="3"/>
  <c r="G29" i="3"/>
  <c r="G2" i="3"/>
  <c r="G6" i="3"/>
  <c r="G7" i="3"/>
  <c r="G8" i="3"/>
  <c r="G10" i="3"/>
  <c r="G11" i="3"/>
  <c r="G12" i="3"/>
  <c r="G15" i="3"/>
  <c r="G14" i="3"/>
  <c r="G16" i="3"/>
  <c r="G17" i="3"/>
  <c r="G18" i="3"/>
  <c r="G19" i="3"/>
  <c r="G20" i="3"/>
  <c r="G25" i="3"/>
  <c r="G21" i="3"/>
  <c r="G30" i="3"/>
  <c r="G13" i="3"/>
  <c r="G23" i="3"/>
  <c r="G26" i="3"/>
  <c r="G24" i="3"/>
  <c r="G27" i="3"/>
  <c r="G28" i="3"/>
  <c r="R3" i="3"/>
  <c r="V16" i="3" l="1"/>
  <c r="W16" i="3"/>
  <c r="Y15" i="3"/>
  <c r="Y16" i="3"/>
  <c r="X6" i="3"/>
  <c r="X15" i="3" s="1"/>
  <c r="V15" i="3"/>
  <c r="X9" i="3"/>
  <c r="X8" i="3"/>
  <c r="W15" i="3"/>
  <c r="X16" i="3" l="1"/>
</calcChain>
</file>

<file path=xl/sharedStrings.xml><?xml version="1.0" encoding="utf-8"?>
<sst xmlns="http://schemas.openxmlformats.org/spreadsheetml/2006/main" count="739" uniqueCount="450">
  <si>
    <t>review_id</t>
  </si>
  <si>
    <t>order_id</t>
  </si>
  <si>
    <t>review_score</t>
  </si>
  <si>
    <t>review_comment_title_message</t>
  </si>
  <si>
    <t>review_translation_tw</t>
  </si>
  <si>
    <t>sentiment</t>
  </si>
  <si>
    <t>t01_delivery_logistics</t>
  </si>
  <si>
    <t>t02_order_fulfillment</t>
  </si>
  <si>
    <t>t03_product_quality</t>
  </si>
  <si>
    <t>t04_product_consistency</t>
  </si>
  <si>
    <t>t05_packaging_protection</t>
  </si>
  <si>
    <t>t06_customer_service</t>
  </si>
  <si>
    <t>t07_price_transaction</t>
  </si>
  <si>
    <t>t08_platform_system</t>
  </si>
  <si>
    <t>03bd089dca1ac0d71c2868eb3483618a</t>
  </si>
  <si>
    <t>03fab3cde6e6bb6b6715075147044dca</t>
  </si>
  <si>
    <t>Boa noite,, compro nas lojas lannister a 8 anos e recomendo, pois tudo chega dentro do prazo, e com a mesma qualidade que é apresentado no site, muito obrigado por fazer parte da minha família.</t>
  </si>
  <si>
    <t>晚上好，我在 lannister 的實體店買了8年，還是會推薦，因為所有商品都會在期限內送到，而且品質跟網站上展示的一樣。非常感謝，能成為你們的一家人。</t>
  </si>
  <si>
    <t>positive</t>
  </si>
  <si>
    <t>056ff087f8e5fe614bc6cce3caa0c480</t>
  </si>
  <si>
    <t>fd9ec02005605e0b338a29e03bc6eb30</t>
  </si>
  <si>
    <t>商品比預期更早送到，而且狀態非常好！</t>
  </si>
  <si>
    <t>0721c1573e47ecabab85980373191514</t>
  </si>
  <si>
    <t>2a661a72ecdfcc8872e968ce3856d59e</t>
  </si>
  <si>
    <t>很棒的商品。</t>
  </si>
  <si>
    <t>074c39cb5e90578eaeb560e6f632ae1e</t>
  </si>
  <si>
    <t>2edf506c823b1a3bc6d134864bc4c10c</t>
  </si>
  <si>
    <t xml:space="preserve">Produto de péssima qualidade e acabamento. </t>
  </si>
  <si>
    <t>商品品質很差，做工和表面處理也很粗糙。</t>
  </si>
  <si>
    <t>negative</t>
  </si>
  <si>
    <t>0c0cb90ec2c6217be6fcfd688817e683</t>
  </si>
  <si>
    <t>6b1a5aabdde7ed25268697cef2a9d28a</t>
  </si>
  <si>
    <t>RECEBI NO PRAZO ESTIPULADO.</t>
  </si>
  <si>
    <t>在指定期限內收到。</t>
  </si>
  <si>
    <t>0c945ea8559964747662519dbddda79b</t>
  </si>
  <si>
    <t>bc107b9b5508d2356f663898c2eb1d8b</t>
  </si>
  <si>
    <t>我沒有收到商品。</t>
  </si>
  <si>
    <t>0d85b938527456657c1435b3e0cf7726</t>
  </si>
  <si>
    <t>58ddcc041323f47709f7e0b0a461c466</t>
  </si>
  <si>
    <t xml:space="preserve">Otimo Prazo da entrega bem rápido </t>
  </si>
  <si>
    <t>很棒，交貨時間很快。</t>
  </si>
  <si>
    <t>0f508c7aba0bbe43ee80975436fd3d5d</t>
  </si>
  <si>
    <t>51c7735438088dc983751f683f652995</t>
  </si>
  <si>
    <t>商品送達正確而且很快。已經測試過並通過驗收。建議加強塑膠結構，特別是曲柄塔，讓動作更穩固。謝謝。</t>
  </si>
  <si>
    <t>10460eaad2a97e45e5735e7058d778b3</t>
  </si>
  <si>
    <t>fec2c513cc9c10087af9e5d8f2da71fd</t>
  </si>
  <si>
    <t>商品看起來像二手，logo 的漆都磨掉了，還有一些刮痕。不要想省 5 塊錢而買這家店的東西。</t>
  </si>
  <si>
    <t>1110fd4c2db3d0f9df542b46aebcbfbd</t>
  </si>
  <si>
    <t>dc9c5e38f7f39900731ed6c79a2c4849</t>
  </si>
  <si>
    <t>下午好……我有收到商品，但保溫便當包的提把出問題了，線縫脫開了。我該怎麼換？</t>
  </si>
  <si>
    <t>14bd0f4bea843699f4da3b65e10cccae</t>
  </si>
  <si>
    <t>bca23b0c0c24178fcf6fb1838fadbe86</t>
  </si>
  <si>
    <t>比預期更早到貨，運費比 lannister 的更貴。看起來非常不錯，前幾次踩踏的感覺很好。但沒有附說明手冊，不過組裝很容易也很直覺。</t>
  </si>
  <si>
    <t>mixed</t>
  </si>
  <si>
    <t>1e8f7bf12393c8879303b37abf5e58fb</t>
  </si>
  <si>
    <t>6105321bd9c6d494502e32dd1d28c53d</t>
  </si>
  <si>
    <t>pedi um produto e no lugar veio outro responsavel ficou de enviar p correto, estou aguardando</t>
  </si>
  <si>
    <t>我訂的是一個商品，但送來的卻是另一個。對方說會再寄正確的，但我現在還在等。</t>
  </si>
  <si>
    <t>1f58fdeec8f079e90b3d2d7f64b87c59</t>
  </si>
  <si>
    <t>562f6c47e1f1b9b37763db9d5ae00e3a</t>
  </si>
  <si>
    <t xml:space="preserve">Bom Muito bom a loja entrega no prazo </t>
  </si>
  <si>
    <t>很好，很好。店家在期限內送貨。</t>
  </si>
  <si>
    <t>21a40d6b28216d468ca32122e41cee68</t>
  </si>
  <si>
    <t>2fa565240e8353e7a1ad78347f8608fa</t>
  </si>
  <si>
    <t>沒有任何說明就把訂單取消了。</t>
  </si>
  <si>
    <t>24e467c8784b125c2822e0f9e6bd877f</t>
  </si>
  <si>
    <t>c5aea2f23df89cdf58e3c3721456f0b0</t>
  </si>
  <si>
    <t>商品沒有送到！</t>
  </si>
  <si>
    <t>2518ac1e2962f0f7df21e07966423779</t>
  </si>
  <si>
    <t>7b2224d2541bc6874a3767724399a203</t>
  </si>
  <si>
    <t>Mercadoria já passou o prazo de entrega.</t>
  </si>
  <si>
    <t>商品已經超過預定送達期限。</t>
  </si>
  <si>
    <t>257d0c7bb5767c7bd21463a68e5ff064</t>
  </si>
  <si>
    <t>74d903ac21372f331f2fa52be9681693</t>
  </si>
  <si>
    <t xml:space="preserve">Bom vendedor, bom produto!! </t>
  </si>
  <si>
    <t>賣家很好，商品也很好!!</t>
  </si>
  <si>
    <t>27a5cc5b3fbe60cd8a988c1b869af369</t>
  </si>
  <si>
    <t>2b0e07b3ff6d3a2db9405022edc865c2</t>
  </si>
  <si>
    <t xml:space="preserve">Chato foi ter que ir nos correios para buscar . 
Nem em área de risco eu moro . </t>
  </si>
  <si>
    <t>很討厭的是我得跑去郵局領貨。就算我不住在風險區域也一樣。</t>
  </si>
  <si>
    <t>2b6649bd0a6f3d3370377e5cbfe7d256</t>
  </si>
  <si>
    <t>a5875ee134166b373cc08cbea838760c</t>
  </si>
  <si>
    <t>我得去郵局取件；他們沒有通知我還得特地跑一趟，而且也沒有送到家裡。</t>
  </si>
  <si>
    <t>2e68adb91fc0eb9ff9ef97c79dad5104</t>
  </si>
  <si>
    <t>a2a216a3b0034fa46d13dfa2ef86a62c</t>
  </si>
  <si>
    <t>2e948224ec4bf8fab2b705e05a81da38</t>
  </si>
  <si>
    <t>8bf44eb0d19208f9bde92d553a6bf064</t>
  </si>
  <si>
    <t>我申請了更換，對方說兩天內會回覆我，讓我把商品退回商店，但到現在都沒有回覆。我不要這個塑膠製品。</t>
  </si>
  <si>
    <t>3463ea11426e5dc8338ae33518f58c29</t>
  </si>
  <si>
    <t>08d1ac9ae1dcec96c3422ade2005fe94</t>
  </si>
  <si>
    <t>O produto foi entregue corretamente, mas achei o prazo de entrega muito, mas muito demorado.</t>
  </si>
  <si>
    <t>商品正確送達，但我覺得配送時間實在太、太慢了。</t>
  </si>
  <si>
    <t>38b7052e458c9d2f5f4e620a52df56ae</t>
  </si>
  <si>
    <t>799dc0fd216e2a8e571a2684ddb6f940</t>
  </si>
  <si>
    <t>我無法取得商品配送的相關資訊。</t>
  </si>
  <si>
    <t>3b414288c372edf633fc654aff5aa11f</t>
  </si>
  <si>
    <t>651bd7286b2e17e1e3ea7b644870e429</t>
  </si>
  <si>
    <t>這個娃娃沒有符合我在 lannister 的攤位看到的規格/內容。</t>
  </si>
  <si>
    <t>3b5f86cdad4d63df0a7f09296a1ebdbc</t>
  </si>
  <si>
    <t>4630a9abdc1d1ea8fc579b269820c3ea</t>
  </si>
  <si>
    <t>Eu acho um período bom de entrega 15 dias como as outras lojas mas com vcs foi praticamente 1 mês</t>
  </si>
  <si>
    <t>我覺得交貨期不錯應該 15 天像其他店一樣，但跟你們買幾乎要一個月。</t>
  </si>
  <si>
    <t>3b62bf0d1593a5a1743a3ca3f3aad2f9</t>
  </si>
  <si>
    <t>db7b88e881d8890d4ea491444d0e43ed</t>
  </si>
  <si>
    <t>DENTRO DA EXPECTATIVA. AINDA NAO FOI INSTALADA.</t>
  </si>
  <si>
    <t>符合期待，但還沒安裝。</t>
  </si>
  <si>
    <t>neutral</t>
  </si>
  <si>
    <t>3b84059929769dce04b06199d49e9999</t>
  </si>
  <si>
    <t>10fda92f9390e0b13e41ce5ce692a2cc</t>
  </si>
  <si>
    <t>商品預計在 11/11/2017 送達，但到現在都還沒有；訂單狀態是「配送有困難，商品尚未到達目的地」。如果週二14/11之前收不到，我就會採取行動。</t>
  </si>
  <si>
    <t>422d6120dd528cf1bc3457bbb55f342d</t>
  </si>
  <si>
    <t>f26fa27bb0f1337c570d70e32fc2e413</t>
  </si>
  <si>
    <t>我收到商品了，但顏色是錯的。因此我不推薦這家店。</t>
  </si>
  <si>
    <t>467429497f2711eb1e33e710897e04a8</t>
  </si>
  <si>
    <t>91811480f57d846cb6b5b418b549f158</t>
  </si>
  <si>
    <t>Bom produto gostei 
E parabéns a loja q entregou antes do prazo 
Recomendo</t>
  </si>
  <si>
    <t>不錯的產品，我喜歡！也恭喜你們店家，提前交貨！我推薦。</t>
  </si>
  <si>
    <t>46960cdcf2159bcd3edaf8d5e004c9f0</t>
  </si>
  <si>
    <t>10d220b706ebacc99c3de71db8c78105</t>
  </si>
  <si>
    <t>5 estrelas otimo</t>
  </si>
  <si>
    <t>5 星，超棒的。</t>
  </si>
  <si>
    <t>48b3ce236ea9d35a4850ea94ca9ca38f</t>
  </si>
  <si>
    <t>fb7688c98b85305cf636fb26b2804186</t>
  </si>
  <si>
    <t>延遲，商品沒有在期限內送到。</t>
  </si>
  <si>
    <t>49af8d8f5a31674c3474ab9ea125db04</t>
  </si>
  <si>
    <t>c6d61340bd8baeedca7cc8e7f7ec07e9</t>
  </si>
  <si>
    <t>我會推薦這家店，但不推薦我選的那個商品。我希望能退款。床單質地粗糙，拿到後放在旁邊也沒拆包裝就那樣了。</t>
  </si>
  <si>
    <t>4e2f8754dcd1c225118bdb09ac5c7098</t>
  </si>
  <si>
    <t>705de20d99bad1d33f30357181b9e9ad</t>
  </si>
  <si>
    <t>我覺得商品很小，材質也很薄弱。因為巴拉索/巴拉瑟翁（baratheon）系列的商品品質一直很好，所以讓人失望了。</t>
  </si>
  <si>
    <t>4ef1beefd4aabdae125552a34ac8eb47</t>
  </si>
  <si>
    <t>4b3c7f8318b056586e0407857f44a136</t>
  </si>
  <si>
    <t>手錶沒有附上使用說明書。</t>
  </si>
  <si>
    <t>540d9d82538804c7e0e0e1208d519bc6</t>
  </si>
  <si>
    <t>9cf86370700477e2bf11be1e7f3d16e6</t>
  </si>
  <si>
    <t>Recomendo</t>
  </si>
  <si>
    <t>我推薦。</t>
  </si>
  <si>
    <t>573447a3438f279798e4b16a95ace88b</t>
  </si>
  <si>
    <t>1762d149a68887991734edbe6df5f15d</t>
  </si>
  <si>
    <t>Comprei dois itens no mesmo pedido um chegou em 5 dias muito rápido o outro demorou 15 dias</t>
  </si>
  <si>
    <t>我在同一筆訂單買了兩件，一件在5天內就到了，很快；另一件卻等了15天。</t>
  </si>
  <si>
    <t>5821c8dba0c12a0c8bfd9d1ccb7ba536</t>
  </si>
  <si>
    <t>0c4e55eefa45381c3ac66984b7be7822</t>
  </si>
  <si>
    <t>Conforme anúncio.</t>
  </si>
  <si>
    <t>符合廣告。</t>
  </si>
  <si>
    <t>63fc1507f5bd7b7b3e3c49bab26f26c9</t>
  </si>
  <si>
    <t>07c04599729da94f8aeb0974035ac307</t>
  </si>
  <si>
    <t>商品頁在銷售時的圖片很清楚、也很漂亮，但收到後整個變成全黑，幾乎看不到圖片。</t>
  </si>
  <si>
    <t>677aecb58f2567484c5026529b4eec15</t>
  </si>
  <si>
    <t>4118d018e9f9582cb4a36074635913d1</t>
  </si>
  <si>
    <t xml:space="preserve">Produto bom, imaginava outro tecido, mas veio exatamente o descrito. </t>
  </si>
  <si>
    <t>商品不錯，我原本以為會是別的布料，但實際上收到的就是描述的內容。</t>
  </si>
  <si>
    <t>6ac1784af79388dab9316a767f6450b5</t>
  </si>
  <si>
    <t>05104976125ea1e5cc04bc1f506a436a</t>
  </si>
  <si>
    <t>注意！我填寫沒送達是因為我得自己去拿。他們不會送到我家。再加上我用了才一週，耳機就已經開始出問題了！</t>
  </si>
  <si>
    <t>6b20f0cfb867ed0761d375fe21dee6dd</t>
  </si>
  <si>
    <t>145e208aa1770c67fd155eb6b4084372</t>
  </si>
  <si>
    <t>我推薦。收到很快，但相機電池充不了電，也就是不吃電。</t>
  </si>
  <si>
    <t>6e1d6f7414f5d57fd209e40d2284b5f2</t>
  </si>
  <si>
    <t>13cde3630a835cffb389eee14cbc0e1a</t>
  </si>
  <si>
    <t>Recebi outro produto pois oque comprei nao consta em estoque. Mas mesmo assim nao tiraram do site.</t>
  </si>
  <si>
    <t>我收到了另一個商品，因為我買的那個庫存沒有了。但就算如此，他們也沒有把網站上的商品下架。</t>
  </si>
  <si>
    <t>6fbb0a18dd98992e5b50fc4ea7b95322</t>
  </si>
  <si>
    <t>6aabdc795efb588de3fc71a018cebff9</t>
  </si>
  <si>
    <t>Bom! Achei que o quadro seria maior, mas mesmo assim ficou mto bom!</t>
  </si>
  <si>
    <t>不錯！我以為框架會更大，但就算這樣還是很好！</t>
  </si>
  <si>
    <t>78dad0918f0b7862fcd4d336ca6c7227</t>
  </si>
  <si>
    <t>1e16f42e33100a56e1408cceb4846f2b</t>
  </si>
  <si>
    <t>很棒的商品，我愛了。</t>
  </si>
  <si>
    <t>791452ffed6d5a38dcf571f775ea842c</t>
  </si>
  <si>
    <t>b5780df6f99a1b41aaf41e0937ca5e9f</t>
  </si>
  <si>
    <t>產品很棒！桌子漂亮，做工完美。但支架的螺絲寄來是鬆的，所以上方有點鬆，需要稍微處理一下。不過做工真的很完美。</t>
  </si>
  <si>
    <t>7c099f4f3aaed02d96b417fe57fe3596</t>
  </si>
  <si>
    <t>68d30b64daa2ee72a7f61b86717c20f4</t>
  </si>
  <si>
    <t>我把毛巾退回了，因為它不是我對品質的期待。至於配送和 baratheon 的協助/服務也都做得很棒，因此我又買了其他套毛巾。</t>
  </si>
  <si>
    <t>817db8a8e313c5033168187285c40f44</t>
  </si>
  <si>
    <t>6b6291ce14ed6c6cd2df883635e6c704</t>
  </si>
  <si>
    <t>他們說沒有貨可以送。我覺得他們應該在上架販售前先確認有沒有貨。</t>
  </si>
  <si>
    <t>81d10fcd7806dbadc56109cb7cfaa105</t>
  </si>
  <si>
    <t>062682155c454b125c630e1deebff4ea</t>
  </si>
  <si>
    <t>Negativo O produto realmente foi entregue no prazo, entretanto chegou todo quebrado creio que por causa do acondicionamento</t>
  </si>
  <si>
    <t>商品確實準時送到，不過收到時已經全都破了，我想應該是包裝的關係。</t>
  </si>
  <si>
    <t>81db7f0795b7127999e38cf3cd08098b</t>
  </si>
  <si>
    <t>6fcafc7a7cd30fd93d2e40a26a81d5d5</t>
  </si>
  <si>
    <t>當商品到了我發現它不支援 Windows 10。我已經連續4天都在嘗試聯絡客服（SAC），想知道如何把它換成網站上同品牌的另一款。</t>
  </si>
  <si>
    <t>8299a3659a83638e851e14a2c359c468</t>
  </si>
  <si>
    <t>6076a8694fc911c2ed0a2bac1c30a9c5</t>
  </si>
  <si>
    <t>我不知道為什麼不能給5顆星，因為我還沒測試。但看起來一切都沒問題。</t>
  </si>
  <si>
    <t>83196ba4246506a2b12585e6594a2b64</t>
  </si>
  <si>
    <t>05f24644b8019e68652b4216a5a5e956</t>
  </si>
  <si>
    <t>沒收到，沒收到。</t>
  </si>
  <si>
    <t>86e01f8f13afaaf180692b8915b2ba5c</t>
  </si>
  <si>
    <t>62dd8e5f0825db70280fd7e07e599900</t>
  </si>
  <si>
    <t>Parabéns pela eficiência chegou antes do prazo</t>
  </si>
  <si>
    <t>恭喜你們的效率，已經比期限前到貨。</t>
  </si>
  <si>
    <t>87048382e64891d1ae0fa67968a8f21e</t>
  </si>
  <si>
    <t>a56e37d8a5dac95d919eaff11259c597</t>
  </si>
  <si>
    <t>RECOMENDO</t>
  </si>
  <si>
    <t>87e52dee894fbd86a88ebdc7509e7a1a</t>
  </si>
  <si>
    <t>00c8bfbb0a1224dcdb0180a544247159</t>
  </si>
  <si>
    <t>店家很棒。我買了幾個柳條籃（cestas de vime），買了 6 個，但少了一個蓋子（tampa）。所以我不算完全滿意！但商品本身很好！</t>
  </si>
  <si>
    <t>8892d9e70de3e86e4281abee4daa125b</t>
  </si>
  <si>
    <t>6fae9a0c40ff98d96a5ce24aed7ad0c7</t>
  </si>
  <si>
    <t>chegou no prazo</t>
  </si>
  <si>
    <t>準時送達。</t>
  </si>
  <si>
    <t>8e13d2fc070d5b5cab85f58e307d59d6</t>
  </si>
  <si>
    <t>9372445ddc10678e804717702a911665</t>
  </si>
  <si>
    <t>我買了同一個商品兩件，結果要付兩次運費，我覺得很扯；另外一件已經收到了，但另一件還沒到。</t>
  </si>
  <si>
    <t>8fe39b188ee30c9128bacf5bb32905bd</t>
  </si>
  <si>
    <t>84e0fd31977e457ca804a61921bc5c59</t>
  </si>
  <si>
    <t>我不是很喜歡這個產品，因為我在網路上買很多次，產品看起來好像會變成另一樣，而且差很多，哈哈。</t>
  </si>
  <si>
    <t>93e5d9f257b894b15c8b25afa6f36d80</t>
  </si>
  <si>
    <t>59448c2e076491032bae1cb956f03ceb</t>
  </si>
  <si>
    <t>值得這個價格，可愛的樣子，M 尺我也覺得還挺大。我的狗狗很喜歡。</t>
  </si>
  <si>
    <t>963b345373b73d7658098892570add9d</t>
  </si>
  <si>
    <t>e939b415a638d648a1421b5520b3a28e</t>
  </si>
  <si>
    <t>很棒。</t>
  </si>
  <si>
    <t>96dacf3418251a8f34ab38888e7e435f</t>
  </si>
  <si>
    <t>5f7e1556c341ffba69159bcbce87f2c9</t>
  </si>
  <si>
    <t>Produto entregue no prazo, conforme combinado.</t>
  </si>
  <si>
    <t>商品在期限內送達，且符合約定。</t>
  </si>
  <si>
    <t>970099ab01bd827f43663da4bb4a519f</t>
  </si>
  <si>
    <t>9ffb325177b96c422447e3b9ee9a6270</t>
  </si>
  <si>
    <t>我還沒收到商品，也聯絡不上你們。</t>
  </si>
  <si>
    <t>99adf0d42b88f9a42fe42e24c0b5fa7f</t>
  </si>
  <si>
    <t>16ac52984591a32873cdec7382495c2c</t>
  </si>
  <si>
    <t>Conforme o meu sobrinho o produto respondeu às suas expectativas. bom</t>
  </si>
  <si>
    <t>根據我外甥的說法，商品符合他的期待。很好。</t>
  </si>
  <si>
    <t>9d105d7740d257cd35d2947c70cd87b2</t>
  </si>
  <si>
    <t>190e8611451cfad038f032f548f44c12</t>
  </si>
  <si>
    <t>perfeito</t>
  </si>
  <si>
    <t>完美。</t>
  </si>
  <si>
    <t>9d7b240dff5539983f5def389e2c1bf7</t>
  </si>
  <si>
    <t>a3f048db7f6523ded5c260c1ea0bf007</t>
  </si>
  <si>
    <t>Adorei a cortina</t>
  </si>
  <si>
    <t>我很喜歡這個窗簾。</t>
  </si>
  <si>
    <t>a39c2b3231ca6cc450db61d3173b8246</t>
  </si>
  <si>
    <t>9a3682ac52b77c26f1d7a700b59ed9f7</t>
  </si>
  <si>
    <t>ja comentei anteriormente</t>
  </si>
  <si>
    <t>我之前已經評論過了。</t>
  </si>
  <si>
    <t>a4f6a060718e6b5b73e4b15166eef773</t>
  </si>
  <si>
    <t>71a0049f34d4d5b556c2194855da9771</t>
  </si>
  <si>
    <t>Muito bom</t>
  </si>
  <si>
    <t>非常好。</t>
  </si>
  <si>
    <t>a92c91484665dda9efe7167bca7a27ef</t>
  </si>
  <si>
    <t>9e782eef55c0f6f0a4de48f967232e91</t>
  </si>
  <si>
    <t>我買了兩支 Moto G5 S plus，還買了兩個保護殼和兩張保護貼。但 Lannister 沒有核准手機的付款，卻寄出了保護殼和保護貼。真的很難耶。</t>
  </si>
  <si>
    <t>b0a9b510e820ef447710c9ee2d4297f5</t>
  </si>
  <si>
    <t>50accbb9397edc377aea35d7394a1ca7</t>
  </si>
  <si>
    <t>Vcs 展示了完整的遊戲，但只收到了 4 件。我的女兒想要床罩罩布（cobre leito），要怎麼才能只買那一件？</t>
  </si>
  <si>
    <t>b0db3bca55569d594953f1c527527927</t>
  </si>
  <si>
    <t>c2c8a6bf69f9530b40dbe6b53119fcd0</t>
  </si>
  <si>
    <t xml:space="preserve">Super Recomendo  O produto foi entregue corretamente, antes do prazo previsto e o mesmo funciona corretamente. recomendo </t>
  </si>
  <si>
    <t>我超級推薦！商品送達正確，還比預定時間更早，而且運作正常。我推薦。</t>
  </si>
  <si>
    <t>b2325d6d82d6e1be301c1d5dce4871e8</t>
  </si>
  <si>
    <t>3acfefca1b7d510f944c782689681753</t>
  </si>
  <si>
    <t>Bem rápido e tudo ok</t>
  </si>
  <si>
    <t>很快，而且一切都OK。</t>
  </si>
  <si>
    <t>b8fab172a4c5588e3a435f451e4c911f</t>
  </si>
  <si>
    <t>7e47dbecc85ae7f45a4645b97b180157</t>
  </si>
  <si>
    <t>Gostei</t>
  </si>
  <si>
    <t>喜歡。</t>
  </si>
  <si>
    <t>bae472fad885da38be6f18b6ebf2b3d4</t>
  </si>
  <si>
    <t>b86149c8139bc8a77792c2b24942a0db</t>
  </si>
  <si>
    <t>Comprei uma lixeira para cozinha, conforme a foto com suporte somente para o pé da lixeira, veio o suporte errado para banheiro com porta papel higiênico.</t>
  </si>
  <si>
    <t>我買的是廚房用的垃圾桶，依照照片是支架只給垃圾桶腳使用，但寄來的支架是浴室用、還附衛生紙架的那種。</t>
  </si>
  <si>
    <t>bcd58c75390296515e530e9da07c23df</t>
  </si>
  <si>
    <t>151c27c128aed0a8f60f8ed31c5d62f2</t>
  </si>
  <si>
    <t>mandaram o carregador sem a parte do cabo que coloca na tomada, mas o carregador funciona</t>
  </si>
  <si>
    <t>他們寄了充電器，但沒有附上插頭接到插座的那個部分。不過充電器本身是能運作的。</t>
  </si>
  <si>
    <t>c35614fbb7ff784817adf30a78e25490</t>
  </si>
  <si>
    <t>2c1a2f921c5be4edef5b3cc5f8e79477</t>
  </si>
  <si>
    <t>Nossa.... Nunca comprei algo nas lannister que demorasse tanto..... Pensei em desistir. Mas de qualquer forma, o relógio é bom</t>
  </si>
  <si>
    <t>哇！我從來沒在 Lannister 買過這麼久的……我都想要取消了。但不管怎樣，手錶不錯。</t>
  </si>
  <si>
    <t>c39ef403a6b7917cff1711c5e45b3e08</t>
  </si>
  <si>
    <t>483b20142703235aad52bdf6033346fc</t>
  </si>
  <si>
    <t>Muito fina e sem acabamento,pois deixaram pontas de costura muito grandes,acabamento muito grosseiro</t>
  </si>
  <si>
    <t>布料很薄，而且沒有什麼做工；因為縫線頭留得太大，整體做工很粗糙。</t>
  </si>
  <si>
    <t>c625fc3013b57a90dac13f9138d9436c</t>
  </si>
  <si>
    <t>766a7aafdf6f237885465c7487a30eb7</t>
  </si>
  <si>
    <t>對客戶很不尊重，因為配送期限很久他們卻也沒有做到承諾。</t>
  </si>
  <si>
    <t>cbc6f7cd85fd98b26a724ccb2e9c74b2</t>
  </si>
  <si>
    <t>bc0e690ee61ed479d110f301bd4e6b5a</t>
  </si>
  <si>
    <t>商品還沒送到，我也完全沒有任何相關資訊。真的是很冷漠！在追蹤系統上只顯示「配送有困難」，完全沒有給任何期限……</t>
  </si>
  <si>
    <t>cd224fcd17a7fe4415fe070b3e8f8f85</t>
  </si>
  <si>
    <t>1fe7be398f57b2c40691376b673de1bb</t>
  </si>
  <si>
    <t>我還沒收到商品，儘管網站上顯示已送達。</t>
  </si>
  <si>
    <t>cd49e5e8f4cedc28fa9b0ab941150f60</t>
  </si>
  <si>
    <t>8cca30720d5165714d3c1d64cf85e34b</t>
  </si>
  <si>
    <t>商品附的樂高盒子被壓扁了，還是要當禮物。就算我沒有另外要求包裝，也不能不顧應有的保護與細心。</t>
  </si>
  <si>
    <t>cd4e51c7d8e953943f08b723196df463</t>
  </si>
  <si>
    <t>b257713d1922be564a498b7dea2969a8</t>
  </si>
  <si>
    <t>O produto é otimo, mas a lannister deixa muito a desejar. O produto chegou dentro do prazo, mas era 16 dias de prazo, muito tempo de espera e tambem uns dos produtos veio ERRADO.</t>
  </si>
  <si>
    <t>商品很棒，但 lannister 讓人失望。商品有在期限內到貨，但其實等了16天，等待時間很久；而且其中一個商品也來錯了。</t>
  </si>
  <si>
    <t>cfc76e4e11f297ea7401c31fcce7becb</t>
  </si>
  <si>
    <t>0847b01cece36c36c9c439bd502babe5</t>
  </si>
  <si>
    <t>Entregue antes do prazo Muito eficiente. Infelizmente, nao se tem muita nocao do produto divido a poucas fotos do mesmo e quase nenhuma informacao sobre o mesmo. Mas a entrega foi eficiente e eu recebi o que comprei.</t>
  </si>
  <si>
    <t>比預期更早送達，很有效率。不過可惜的是，大家對商品不太了解，只有少數照片、幾乎沒有相關資訊。但交貨很有效率，而且我也收到了我買的商品。</t>
  </si>
  <si>
    <t>d3b426476a9b05f47feec193e3d4216d</t>
  </si>
  <si>
    <t>9a5ea74a2fd85889e60e9bdb186cd1f0</t>
  </si>
  <si>
    <t>在期限內收到，而且完好無缺，走郵局寄送沒有出錯。</t>
  </si>
  <si>
    <t>d75ccf43316ba5d0b5642c6590469038</t>
  </si>
  <si>
    <t>653a2ccc6028ee6e10f893c52c4201d0</t>
  </si>
  <si>
    <t>配送截止日期已經過了，但我這邊的商品還沒送達，我正在等待，希望星期一能收到。</t>
  </si>
  <si>
    <t>d7b4e9d9c4c46dd60c9a371262215ad6</t>
  </si>
  <si>
    <t>fd3114978747f92401511144ba65a631</t>
  </si>
  <si>
    <t>Excelente</t>
  </si>
  <si>
    <t>非常棒。</t>
  </si>
  <si>
    <t>d8842709f9b6fa4e191faff02e032641</t>
  </si>
  <si>
    <t>da6605100e54eca7235efaeb6d9717a0</t>
  </si>
  <si>
    <t>Gostei tanto que estou indicando pra amigas</t>
  </si>
  <si>
    <t>我這麼喜歡，所以正在推薦給朋友。</t>
  </si>
  <si>
    <t>d889e8384194cc18e403f34a63bb1528</t>
  </si>
  <si>
    <t>667d3f09efc825c4155dbbc820f01666</t>
  </si>
  <si>
    <t>Entregue bem antes do prazo, muito bem!</t>
  </si>
  <si>
    <t>比預期更早到期送達，非常好！</t>
  </si>
  <si>
    <t>dd6fdef612e8c95ce22a21514afbd9a8</t>
  </si>
  <si>
    <t>f7e9a79b157a77f2b176767e16124553</t>
  </si>
  <si>
    <t>不錯推薦，但購買的餐車行動裝置（mobile de carrinho）沒有送到。</t>
  </si>
  <si>
    <t>e056b95486d42478e3d556dade479f84</t>
  </si>
  <si>
    <t>3198a007090c3a630beb0fe82d14a0c6</t>
  </si>
  <si>
    <t>產品超便宜，也很適合救急，拿來避免手機因意外而受損。不過只適合這樣，因為品質很低，而且保護貼（película）收到時就壞掉了。</t>
  </si>
  <si>
    <t>e6bfb729a6d08e200355a0c69b948cc6</t>
  </si>
  <si>
    <t>63abb9284ecee60580728402681f03eb</t>
  </si>
  <si>
    <t>我很喜歡你們對消費者的關心，真的要向你們祝賀。</t>
  </si>
  <si>
    <t>e8f51f0f46e24b107c7a946ceb8ee29c</t>
  </si>
  <si>
    <t>250dcc4b34da378ac9a5f3fac0a67726</t>
  </si>
  <si>
    <t>Produto entregue antes do prazo.
Eu recomendo.</t>
  </si>
  <si>
    <t>商品在期限前就送到了。我推薦。</t>
  </si>
  <si>
    <t>e96c0b40107a7e8b8404f2385f23eaaf</t>
  </si>
  <si>
    <t>4fc50cd371b22d084ba692f7bfc7ca6d</t>
  </si>
  <si>
    <t>Entregou o produto no prazo sem problemas...</t>
  </si>
  <si>
    <t>準時送達商品，沒有問題…</t>
  </si>
  <si>
    <t>e9a415465463fb3ab6e0fe7eb151c7ae</t>
  </si>
  <si>
    <t>8d1c5a867cd01e45e5fc57dddd896f00</t>
  </si>
  <si>
    <t>comprei 2 panelas veio apenas uma</t>
  </si>
  <si>
    <t>我買了兩個鍋子，卻只收到一個。</t>
  </si>
  <si>
    <t>ed3188ebfdc942aca4579497c71309d7</t>
  </si>
  <si>
    <t>93ce5dbe519fd117a153211be6475a39</t>
  </si>
  <si>
    <t>商品送到我家時已經全都破了！到現在都還無法完成更換。這是非常不尊重人的行為！</t>
  </si>
  <si>
    <t>f3069f4671e3201171610cb3042c5527</t>
  </si>
  <si>
    <t>52550cee1dda83b2c06260891897dc60</t>
  </si>
  <si>
    <t>沒有在給定的期限內送到。</t>
  </si>
  <si>
    <t>f7e02b7acd071bee77d7bfe978c92f0c</t>
  </si>
  <si>
    <t>79164f97a0f684659f0881551ed73a2e</t>
  </si>
  <si>
    <t xml:space="preserve">Produto recebido após 1 mês de efetuado o pedido... </t>
  </si>
  <si>
    <t>下單後一個月才收到商品……</t>
  </si>
  <si>
    <t>f8d94c466b88fedfddc6517a4d8650b6</t>
  </si>
  <si>
    <t>081c75b9982020f01f5672792408d728</t>
  </si>
  <si>
    <t xml:space="preserve">Microfone nao tem o desempenho esperado </t>
  </si>
  <si>
    <t>這支麥克風的表現沒有達到預期。</t>
  </si>
  <si>
    <t>fac073871253f255b8dde914c3372684</t>
  </si>
  <si>
    <t>ea5b2c0d002d415e1c5e7d7f39c831f5</t>
  </si>
  <si>
    <t>Falta o protetor impermeavel</t>
  </si>
  <si>
    <t>缺少防水保護套。</t>
  </si>
  <si>
    <t>fddce43634aa050f564e2ef3a64909cd</t>
  </si>
  <si>
    <t>311393b2abaf96a9590f9200b4810bbc</t>
  </si>
  <si>
    <t>Entrega antes do prazo.</t>
  </si>
  <si>
    <t>在期限前送達。</t>
  </si>
  <si>
    <t>fedad14ef1664811dbe3cf573bd35d42</t>
  </si>
  <si>
    <t>8984993f8a0c9dcd1ad6c053144b0160</t>
  </si>
  <si>
    <t>Esperava mais agilidade.</t>
  </si>
  <si>
    <t>我原本期待更有效率（更快）。</t>
  </si>
  <si>
    <t>ff77e689593e261a118f2227b72976f3</t>
  </si>
  <si>
    <t>8d1bc6d158769393c1ec54c05b734652</t>
  </si>
  <si>
    <t>Já sou cliente a um bom tempo e entendo o atraso mais esse deveria ser o diferencial os produtos já sabemos da qualidade exelente...</t>
  </si>
  <si>
    <t>我已經是客戶一段時間了，也理解延遲，但這次應該是賣家的差異點；產品品質我們都知道很優。</t>
  </si>
  <si>
    <t>sentiment人工標注</t>
  </si>
  <si>
    <t>sentiment_AI</t>
  </si>
  <si>
    <t>sentiment_人工</t>
  </si>
  <si>
    <t>Sentiment是否正確</t>
  </si>
  <si>
    <t>Sentiment Accuracy</t>
  </si>
  <si>
    <t>T01是否正確</t>
  </si>
  <si>
    <t>T02是否正確</t>
  </si>
  <si>
    <t>T03是否正確</t>
  </si>
  <si>
    <t>T04是否正確</t>
  </si>
  <si>
    <t>T05是否正確</t>
  </si>
  <si>
    <t>T06是否正確</t>
  </si>
  <si>
    <t>T07是否正確</t>
  </si>
  <si>
    <t>T08是否正確</t>
  </si>
  <si>
    <t>AI 標注驗證 KPI</t>
  </si>
  <si>
    <t>有效樣本數</t>
  </si>
  <si>
    <t>Topic</t>
  </si>
  <si>
    <t>TP</t>
  </si>
  <si>
    <t>FP</t>
  </si>
  <si>
    <t>FN</t>
  </si>
  <si>
    <t>TN</t>
  </si>
  <si>
    <t>Precision</t>
  </si>
  <si>
    <t>Recall</t>
  </si>
  <si>
    <t>F1</t>
  </si>
  <si>
    <t>Support</t>
  </si>
  <si>
    <t>T01</t>
  </si>
  <si>
    <t>T02</t>
  </si>
  <si>
    <t>T03</t>
  </si>
  <si>
    <t>T04</t>
  </si>
  <si>
    <t>T05</t>
  </si>
  <si>
    <t>T06</t>
  </si>
  <si>
    <t>T07</t>
  </si>
  <si>
    <t>T08</t>
  </si>
  <si>
    <t>Macro avg</t>
  </si>
  <si>
    <t>Micro avg</t>
  </si>
  <si>
    <r>
      <rPr>
        <sz val="16"/>
        <color rgb="FF000000"/>
        <rFont val="新細明體"/>
        <family val="1"/>
        <charset val="136"/>
      </rPr>
      <t>O produto chegou muito antes do prazo e veio em ótimas condi</t>
    </r>
    <r>
      <rPr>
        <sz val="16"/>
        <color rgb="FF000000"/>
        <rFont val="Calibri"/>
        <family val="2"/>
        <scheme val="minor"/>
      </rPr>
      <t>çõ</t>
    </r>
    <r>
      <rPr>
        <sz val="16"/>
        <color rgb="FF000000"/>
        <rFont val="Calibri"/>
        <family val="1"/>
        <scheme val="minor"/>
      </rPr>
      <t>es!</t>
    </r>
  </si>
  <si>
    <r>
      <rPr>
        <sz val="16"/>
        <color rgb="FF000000"/>
        <rFont val="Calibri"/>
        <family val="2"/>
        <scheme val="minor"/>
      </rPr>
      <t>Ó</t>
    </r>
    <r>
      <rPr>
        <sz val="16"/>
        <color rgb="FF000000"/>
        <rFont val="Calibri"/>
        <family val="1"/>
        <scheme val="minor"/>
      </rPr>
      <t>timo produto</t>
    </r>
  </si>
  <si>
    <r>
      <rPr>
        <sz val="16"/>
        <color rgb="FF000000"/>
        <rFont val="新細明體"/>
        <family val="1"/>
        <charset val="136"/>
      </rPr>
      <t>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recebi o produto.</t>
    </r>
  </si>
  <si>
    <r>
      <rPr>
        <sz val="16"/>
        <color rgb="FF000000"/>
        <rFont val="新細明體"/>
        <family val="1"/>
        <charset val="136"/>
      </rPr>
      <t>O produto foi entregue correta e rapidamente. Já foi testado e aprovado. Sugiro refor</t>
    </r>
    <r>
      <rPr>
        <sz val="16"/>
        <color rgb="FF000000"/>
        <rFont val="Calibri"/>
        <family val="2"/>
        <scheme val="minor"/>
      </rPr>
      <t>ç</t>
    </r>
    <r>
      <rPr>
        <sz val="16"/>
        <color rgb="FF000000"/>
        <rFont val="Calibri"/>
        <family val="1"/>
        <scheme val="minor"/>
      </rPr>
      <t>arem a estrutura plástica, principalmente da torre da manivela, para dar maior firmeza ao movimento. Obrigada.</t>
    </r>
  </si>
  <si>
    <r>
      <rPr>
        <sz val="16"/>
        <color rgb="FF000000"/>
        <rFont val="新細明體"/>
        <family val="1"/>
        <charset val="136"/>
      </rPr>
      <t>produto com aparência de usado, tinta da logo gasta e com alguns arranh</t>
    </r>
    <r>
      <rPr>
        <sz val="16"/>
        <color rgb="FF000000"/>
        <rFont val="Calibri"/>
        <family val="2"/>
        <scheme val="minor"/>
      </rPr>
      <t>õ</t>
    </r>
    <r>
      <rPr>
        <sz val="16"/>
        <color rgb="FF000000"/>
        <rFont val="Calibri"/>
        <family val="1"/>
        <scheme val="minor"/>
      </rPr>
      <t>es,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tente economizar 5 reais comprando por essa loja.</t>
    </r>
  </si>
  <si>
    <r>
      <rPr>
        <sz val="16"/>
        <color rgb="FF000000"/>
        <rFont val="新細明體"/>
        <family val="1"/>
        <charset val="136"/>
      </rPr>
      <t>Boa tarde...
Recebi sim meu produto, mas a lancheira deu problema na al</t>
    </r>
    <r>
      <rPr>
        <sz val="16"/>
        <color rgb="FF000000"/>
        <rFont val="Calibri"/>
        <family val="2"/>
        <scheme val="minor"/>
      </rPr>
      <t>ç</t>
    </r>
    <r>
      <rPr>
        <sz val="16"/>
        <color rgb="FF000000"/>
        <rFont val="Calibri"/>
        <family val="1"/>
        <scheme val="minor"/>
      </rPr>
      <t>a ela descosturou, como fa</t>
    </r>
    <r>
      <rPr>
        <sz val="16"/>
        <color rgb="FF000000"/>
        <rFont val="Calibri"/>
        <family val="2"/>
        <scheme val="minor"/>
      </rPr>
      <t>ç</t>
    </r>
    <r>
      <rPr>
        <sz val="16"/>
        <color rgb="FF000000"/>
        <rFont val="Calibri"/>
        <family val="1"/>
        <scheme val="minor"/>
      </rPr>
      <t>o para trocar...</t>
    </r>
  </si>
  <si>
    <r>
      <rPr>
        <sz val="16"/>
        <color rgb="FF000000"/>
        <rFont val="新細明體"/>
        <family val="1"/>
        <charset val="136"/>
      </rPr>
      <t>Entregue antes do prazo, frete mais caro que o da lannister.
Parece muito bom, as primeiras pedaladas deram impress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muito boa.
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veio manual de instru</t>
    </r>
    <r>
      <rPr>
        <sz val="16"/>
        <color rgb="FF000000"/>
        <rFont val="Calibri"/>
        <family val="2"/>
        <scheme val="minor"/>
      </rPr>
      <t>çã</t>
    </r>
    <r>
      <rPr>
        <sz val="16"/>
        <color rgb="FF000000"/>
        <rFont val="Calibri"/>
        <family val="1"/>
        <scheme val="minor"/>
      </rPr>
      <t>o, porém a montagem foi fácil e intuitiv</t>
    </r>
  </si>
  <si>
    <r>
      <rPr>
        <sz val="16"/>
        <color rgb="FF000000"/>
        <rFont val="新細明體"/>
        <family val="1"/>
        <charset val="136"/>
      </rPr>
      <t>Sem nenhuma explica</t>
    </r>
    <r>
      <rPr>
        <sz val="16"/>
        <color rgb="FF000000"/>
        <rFont val="Calibri"/>
        <family val="2"/>
        <scheme val="minor"/>
      </rPr>
      <t>çã</t>
    </r>
    <r>
      <rPr>
        <sz val="16"/>
        <color rgb="FF000000"/>
        <rFont val="Calibri"/>
        <family val="1"/>
        <scheme val="minor"/>
      </rPr>
      <t>o o pedido foi cancelado</t>
    </r>
  </si>
  <si>
    <r>
      <rPr>
        <sz val="16"/>
        <color rgb="FF000000"/>
        <rFont val="新細明體"/>
        <family val="1"/>
        <charset val="136"/>
      </rPr>
      <t>O produto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chegou!</t>
    </r>
  </si>
  <si>
    <r>
      <rPr>
        <sz val="16"/>
        <color rgb="FF000000"/>
        <rFont val="新細明體"/>
        <family val="1"/>
        <charset val="136"/>
      </rPr>
      <t>tive que retirar no correio,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avisaram que eu teria que me deslocar para retirar,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entregaram em casa.</t>
    </r>
  </si>
  <si>
    <r>
      <rPr>
        <sz val="16"/>
        <color rgb="FF000000"/>
        <rFont val="新細明體"/>
        <family val="1"/>
        <charset val="136"/>
      </rPr>
      <t>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RECEBI O PRODUTO</t>
    </r>
  </si>
  <si>
    <r>
      <rPr>
        <sz val="16"/>
        <color rgb="FF000000"/>
        <rFont val="新細明體"/>
        <family val="1"/>
        <charset val="136"/>
      </rPr>
      <t>Eu pedir a troca e falaram que em dois dias eu iria ter resposta para mandar o produto de volta a loja e nada de me responder. Eu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 xml:space="preserve">o quero esse produto de plástico </t>
    </r>
  </si>
  <si>
    <r>
      <rPr>
        <sz val="16"/>
        <color rgb="FF000000"/>
        <rFont val="新細明體"/>
        <family val="1"/>
        <charset val="136"/>
      </rPr>
      <t>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consegui obter informa</t>
    </r>
    <r>
      <rPr>
        <sz val="16"/>
        <color rgb="FF000000"/>
        <rFont val="Calibri"/>
        <family val="2"/>
        <scheme val="minor"/>
      </rPr>
      <t>çõ</t>
    </r>
    <r>
      <rPr>
        <sz val="16"/>
        <color rgb="FF000000"/>
        <rFont val="Calibri"/>
        <family val="1"/>
        <scheme val="minor"/>
      </rPr>
      <t>es sobre a entrega do produto</t>
    </r>
  </si>
  <si>
    <r>
      <rPr>
        <sz val="16"/>
        <color rgb="FF000000"/>
        <rFont val="新細明體"/>
        <family val="1"/>
        <charset val="136"/>
      </rPr>
      <t>boneca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veio de acordo com as especifica</t>
    </r>
    <r>
      <rPr>
        <sz val="16"/>
        <color rgb="FF000000"/>
        <rFont val="Calibri"/>
        <family val="2"/>
        <scheme val="minor"/>
      </rPr>
      <t>çõ</t>
    </r>
    <r>
      <rPr>
        <sz val="16"/>
        <color rgb="FF000000"/>
        <rFont val="Calibri"/>
        <family val="1"/>
        <scheme val="minor"/>
      </rPr>
      <t>es que eu ví no quiosque da lannister.</t>
    </r>
  </si>
  <si>
    <r>
      <rPr>
        <sz val="16"/>
        <color rgb="FF000000"/>
        <rFont val="新細明體"/>
        <family val="1"/>
        <charset val="136"/>
      </rPr>
      <t>Previs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de entrega da mercadoria em 11/11/2017, até agora nada e status do pedido " dificuldade na entrega, produto ainda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chegou ao destino.
Se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receber até ter</t>
    </r>
    <r>
      <rPr>
        <sz val="16"/>
        <color rgb="FF000000"/>
        <rFont val="Calibri"/>
        <family val="2"/>
        <scheme val="minor"/>
      </rPr>
      <t>ç</t>
    </r>
    <r>
      <rPr>
        <sz val="16"/>
        <color rgb="FF000000"/>
        <rFont val="Calibri"/>
        <family val="1"/>
        <scheme val="minor"/>
      </rPr>
      <t>a 14, 11 tomarei providênci</t>
    </r>
  </si>
  <si>
    <r>
      <rPr>
        <sz val="16"/>
        <color rgb="FF000000"/>
        <rFont val="新細明體"/>
        <family val="1"/>
        <charset val="136"/>
      </rPr>
      <t>Recebi meu produto com a. Olá boa noite recibi meu produto com à cor errada. Por esse motivo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 xml:space="preserve">o recomendo à Loja.. </t>
    </r>
  </si>
  <si>
    <r>
      <rPr>
        <sz val="16"/>
        <color rgb="FF000000"/>
        <rFont val="新細明體"/>
        <family val="1"/>
        <charset val="136"/>
      </rPr>
      <t>Atraso Produto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 xml:space="preserve">o chegou no prazo </t>
    </r>
  </si>
  <si>
    <r>
      <rPr>
        <sz val="16"/>
        <color rgb="FF000000"/>
        <rFont val="新細明體"/>
        <family val="1"/>
        <charset val="136"/>
      </rPr>
      <t>A loja recomendo mas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o produto que escolhi. Desejo ser ressarcido. Len</t>
    </r>
    <r>
      <rPr>
        <sz val="16"/>
        <color rgb="FF000000"/>
        <rFont val="Calibri"/>
        <family val="2"/>
        <scheme val="minor"/>
      </rPr>
      <t>ç</t>
    </r>
    <r>
      <rPr>
        <sz val="16"/>
        <color rgb="FF000000"/>
        <rFont val="Calibri"/>
        <family val="1"/>
        <scheme val="minor"/>
      </rPr>
      <t>ol de sétimo áspero só de por aí m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 xml:space="preserve">o nem tirei da embalagem. </t>
    </r>
  </si>
  <si>
    <r>
      <rPr>
        <sz val="16"/>
        <color rgb="FF000000"/>
        <rFont val="新細明體"/>
        <family val="1"/>
        <charset val="136"/>
      </rPr>
      <t>Achei o produto muito pequeno, e o material fraco.Como os produtos do baratheon s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de ótima qualidade deixou a desejar.</t>
    </r>
  </si>
  <si>
    <r>
      <rPr>
        <sz val="16"/>
        <color rgb="FF000000"/>
        <rFont val="新細明體"/>
        <family val="1"/>
        <charset val="136"/>
      </rPr>
      <t>O relógio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veio com manual de instru</t>
    </r>
    <r>
      <rPr>
        <sz val="16"/>
        <color rgb="FF000000"/>
        <rFont val="Calibri"/>
        <family val="2"/>
        <scheme val="minor"/>
      </rPr>
      <t>çõ</t>
    </r>
    <r>
      <rPr>
        <sz val="16"/>
        <color rgb="FF000000"/>
        <rFont val="Calibri"/>
        <family val="1"/>
        <scheme val="minor"/>
      </rPr>
      <t>es.</t>
    </r>
  </si>
  <si>
    <r>
      <rPr>
        <sz val="16"/>
        <color rgb="FF000000"/>
        <rFont val="新細明體"/>
        <family val="1"/>
        <charset val="136"/>
      </rPr>
      <t>O produto na venda era uma imagem clara e bonita, quando chegou e totalmente preto e quase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da para ver a imagem .</t>
    </r>
  </si>
  <si>
    <r>
      <rPr>
        <sz val="16"/>
        <color rgb="FF000000"/>
        <rFont val="新細明體"/>
        <family val="1"/>
        <charset val="136"/>
      </rPr>
      <t>Aten</t>
    </r>
    <r>
      <rPr>
        <sz val="16"/>
        <color rgb="FF000000"/>
        <rFont val="Calibri"/>
        <family val="2"/>
        <scheme val="minor"/>
      </rPr>
      <t>çã</t>
    </r>
    <r>
      <rPr>
        <sz val="16"/>
        <color rgb="FF000000"/>
        <rFont val="Calibri"/>
        <family val="1"/>
        <scheme val="minor"/>
      </rPr>
      <t>o!  Coloquei que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foi entregue por que eu que tive q ir buscar. Eles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entregam na minha casa... E outra uma semana de uso o fone já está dando problemas!</t>
    </r>
  </si>
  <si>
    <r>
      <rPr>
        <sz val="16"/>
        <color rgb="FF000000"/>
        <rFont val="新細明體"/>
        <family val="1"/>
        <charset val="136"/>
      </rPr>
      <t>Recomendo  Recebi bem rápido, Mas a bateria da c</t>
    </r>
    <r>
      <rPr>
        <sz val="16"/>
        <color rgb="FF000000"/>
        <rFont val="Calibri"/>
        <family val="2"/>
        <scheme val="minor"/>
      </rPr>
      <t>â</t>
    </r>
    <r>
      <rPr>
        <sz val="16"/>
        <color rgb="FF000000"/>
        <rFont val="Calibri"/>
        <family val="1"/>
        <scheme val="minor"/>
      </rPr>
      <t>mera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está carregando, isto é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pega carga....</t>
    </r>
  </si>
  <si>
    <r>
      <rPr>
        <sz val="16"/>
        <color rgb="FF000000"/>
        <rFont val="Calibri"/>
        <family val="2"/>
        <scheme val="minor"/>
      </rPr>
      <t>Ó</t>
    </r>
    <r>
      <rPr>
        <sz val="16"/>
        <color rgb="FF000000"/>
        <rFont val="Calibri"/>
        <family val="1"/>
        <scheme val="minor"/>
      </rPr>
      <t xml:space="preserve">timo produto  Amei </t>
    </r>
  </si>
  <si>
    <r>
      <rPr>
        <sz val="16"/>
        <color rgb="FF000000"/>
        <rFont val="新細明體"/>
        <family val="1"/>
        <charset val="136"/>
      </rPr>
      <t>Produto excelente ! Mesa linda com acabamento perfeito . O parafuso do suporte veio solto e ent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deixou a parte de cima um pouco frouxa, tive que dar um jeitinho. Mas o acabamento é perfeito .</t>
    </r>
  </si>
  <si>
    <r>
      <rPr>
        <sz val="16"/>
        <color rgb="FF000000"/>
        <rFont val="新細明體"/>
        <family val="1"/>
        <charset val="136"/>
      </rPr>
      <t>Devolvi as toalhas, porque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foi o que esperava em rela</t>
    </r>
    <r>
      <rPr>
        <sz val="16"/>
        <color rgb="FF000000"/>
        <rFont val="Calibri"/>
        <family val="2"/>
        <scheme val="minor"/>
      </rPr>
      <t>çã</t>
    </r>
    <r>
      <rPr>
        <sz val="16"/>
        <color rgb="FF000000"/>
        <rFont val="Calibri"/>
        <family val="1"/>
        <scheme val="minor"/>
      </rPr>
      <t>o a qualidade do produto a entrega e assistência da baratheon est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de parabéns portanto comprei outros jogos de toalhas</t>
    </r>
  </si>
  <si>
    <r>
      <rPr>
        <sz val="16"/>
        <color rgb="FF000000"/>
        <rFont val="新細明體"/>
        <family val="1"/>
        <charset val="136"/>
      </rPr>
      <t>Alegaram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ter o produto para entrega,acho que deveriam ver antes de colocar na venda de tem ou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o produto</t>
    </r>
  </si>
  <si>
    <r>
      <rPr>
        <sz val="16"/>
        <color rgb="FF000000"/>
        <rFont val="新細明體"/>
        <family val="1"/>
        <charset val="136"/>
      </rPr>
      <t>Quando o produto chegou percebi que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era combativel com windows 10. Estou ha 4 dias tentando falar com o SAC para saber o procedimento para trocar por um outro do proprio site da lannister.</t>
    </r>
  </si>
  <si>
    <r>
      <rPr>
        <sz val="16"/>
        <color rgb="FF000000"/>
        <rFont val="新細明體"/>
        <family val="1"/>
        <charset val="136"/>
      </rPr>
      <t>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sei 5 estrelas pq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testei ainda. Mas me parece tudo certo</t>
    </r>
  </si>
  <si>
    <r>
      <rPr>
        <sz val="16"/>
        <color rgb="FF000000"/>
        <rFont val="新細明體"/>
        <family val="1"/>
        <charset val="136"/>
      </rPr>
      <t>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recebi 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recebi</t>
    </r>
  </si>
  <si>
    <r>
      <rPr>
        <sz val="16"/>
        <color rgb="FF000000"/>
        <rFont val="新細明體"/>
        <family val="1"/>
        <charset val="136"/>
      </rPr>
      <t>Loja é ótima Eu comprei umas cestas de vime, comprei 6, só que veio faltando uma tampa. Ent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fiquei totalmente satisfeita! Mas o produto é muito bom!</t>
    </r>
  </si>
  <si>
    <r>
      <rPr>
        <sz val="16"/>
        <color rgb="FF000000"/>
        <rFont val="新細明體"/>
        <family val="1"/>
        <charset val="136"/>
      </rPr>
      <t>Comprei 2 itens do mesmo produto e tive que pagar 2 fretes... Acho uma sacanagem isso, e também chegou 1 produto e o outro ainda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</t>
    </r>
  </si>
  <si>
    <r>
      <rPr>
        <sz val="16"/>
        <color rgb="FF000000"/>
        <rFont val="新細明體"/>
        <family val="1"/>
        <charset val="136"/>
      </rPr>
      <t>só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curti muito o produto, ja q comprar pela internet mtas vezes o produto parece ser uma coisa, e é bem diferente. kkkkk</t>
    </r>
  </si>
  <si>
    <r>
      <rPr>
        <sz val="16"/>
        <color rgb="FF000000"/>
        <rFont val="新細明體"/>
        <family val="1"/>
        <charset val="136"/>
      </rPr>
      <t>vale o pre</t>
    </r>
    <r>
      <rPr>
        <sz val="16"/>
        <color rgb="FF000000"/>
        <rFont val="Calibri"/>
        <family val="2"/>
        <scheme val="minor"/>
      </rPr>
      <t>ç</t>
    </r>
    <r>
      <rPr>
        <sz val="16"/>
        <color rgb="FF000000"/>
        <rFont val="Calibri"/>
        <family val="1"/>
        <scheme val="minor"/>
      </rPr>
      <t>o é fofinha e a M até achei grandinha.
o meu Dog adorou.</t>
    </r>
  </si>
  <si>
    <r>
      <rPr>
        <sz val="16"/>
        <color rgb="FF000000"/>
        <rFont val="Calibri"/>
        <family val="2"/>
        <scheme val="minor"/>
      </rPr>
      <t>Ó</t>
    </r>
    <r>
      <rPr>
        <sz val="16"/>
        <color rgb="FF000000"/>
        <rFont val="Calibri"/>
        <family val="1"/>
        <scheme val="minor"/>
      </rPr>
      <t xml:space="preserve">tima </t>
    </r>
  </si>
  <si>
    <r>
      <rPr>
        <sz val="16"/>
        <color rgb="FF000000"/>
        <rFont val="新細明體"/>
        <family val="1"/>
        <charset val="136"/>
      </rPr>
      <t>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recebi o produto ainda e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consegui entrar em contato com vcs .</t>
    </r>
  </si>
  <si>
    <r>
      <rPr>
        <sz val="16"/>
        <color rgb="FF000000"/>
        <rFont val="新細明體"/>
        <family val="1"/>
        <charset val="136"/>
      </rPr>
      <t>Comprei dois Moto G5 S plus com duas capas e duas películas. As lannister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 xml:space="preserve">o aprovou o pagamento dos smartphones, mas enviou as capas com as películas. </t>
    </r>
    <r>
      <rPr>
        <sz val="16"/>
        <color rgb="FF000000"/>
        <rFont val="Calibri"/>
        <family val="2"/>
        <scheme val="minor"/>
      </rPr>
      <t>É</t>
    </r>
    <r>
      <rPr>
        <sz val="16"/>
        <color rgb="FF000000"/>
        <rFont val="Calibri"/>
        <family val="1"/>
        <scheme val="minor"/>
      </rPr>
      <t xml:space="preserve"> difícil viu.</t>
    </r>
  </si>
  <si>
    <r>
      <rPr>
        <sz val="16"/>
        <color rgb="FF000000"/>
        <rFont val="新細明體"/>
        <family val="1"/>
        <charset val="136"/>
      </rPr>
      <t>Vcs mostraram o jogo completo e só veio 4 pe</t>
    </r>
    <r>
      <rPr>
        <sz val="16"/>
        <color rgb="FF000000"/>
        <rFont val="Calibri"/>
        <family val="2"/>
        <scheme val="minor"/>
      </rPr>
      <t>ç</t>
    </r>
    <r>
      <rPr>
        <sz val="16"/>
        <color rgb="FF000000"/>
        <rFont val="Calibri"/>
        <family val="1"/>
        <scheme val="minor"/>
      </rPr>
      <t>as minha filha quer o cobre leito como fa</t>
    </r>
    <r>
      <rPr>
        <sz val="16"/>
        <color rgb="FF000000"/>
        <rFont val="Calibri"/>
        <family val="2"/>
        <scheme val="minor"/>
      </rPr>
      <t>ç</t>
    </r>
    <r>
      <rPr>
        <sz val="16"/>
        <color rgb="FF000000"/>
        <rFont val="Calibri"/>
        <family val="1"/>
        <scheme val="minor"/>
      </rPr>
      <t>o pra adquirir só ele</t>
    </r>
  </si>
  <si>
    <r>
      <rPr>
        <sz val="16"/>
        <color rgb="FF000000"/>
        <rFont val="新細明體"/>
        <family val="1"/>
        <charset val="136"/>
      </rPr>
      <t>Falta de respeito com o cliente já que o prazo é longo para entrega e mesmo assim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cumprem com o prometido.</t>
    </r>
  </si>
  <si>
    <r>
      <rPr>
        <sz val="16"/>
        <color rgb="FF000000"/>
        <rFont val="新細明體"/>
        <family val="1"/>
        <charset val="136"/>
      </rPr>
      <t>O produto ainda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chegou, e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tenho nenhuma informa</t>
    </r>
    <r>
      <rPr>
        <sz val="16"/>
        <color rgb="FF000000"/>
        <rFont val="Calibri"/>
        <family val="2"/>
        <scheme val="minor"/>
      </rPr>
      <t>çã</t>
    </r>
    <r>
      <rPr>
        <sz val="16"/>
        <color rgb="FF000000"/>
        <rFont val="Calibri"/>
        <family val="1"/>
        <scheme val="minor"/>
      </rPr>
      <t>o a respeito do mesmo. Total descaso!
Na rastreabilidade aparece apenas "dificuldades na entrega", sem dar nenhum prazo...</t>
    </r>
  </si>
  <si>
    <r>
      <rPr>
        <sz val="16"/>
        <color rgb="FF000000"/>
        <rFont val="新細明體"/>
        <family val="1"/>
        <charset val="136"/>
      </rPr>
      <t>Ainda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 xml:space="preserve">o recebi o produto, apesar de constar no site como entregue. </t>
    </r>
  </si>
  <si>
    <r>
      <rPr>
        <sz val="16"/>
        <color rgb="FF000000"/>
        <rFont val="新細明體"/>
        <family val="1"/>
        <charset val="136"/>
      </rPr>
      <t>O produto veio com a caixa do Lego amassada e é presente.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é porque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pedi embrulho que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tenham que ter o devido cuidado.</t>
    </r>
  </si>
  <si>
    <r>
      <rPr>
        <sz val="16"/>
        <color rgb="FF000000"/>
        <rFont val="新細明體"/>
        <family val="1"/>
        <charset val="136"/>
      </rPr>
      <t>Chegou dentro do prazo e intacto, pelos Correios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teve erro.</t>
    </r>
  </si>
  <si>
    <r>
      <rPr>
        <sz val="16"/>
        <color rgb="FF000000"/>
        <rFont val="新細明體"/>
        <family val="1"/>
        <charset val="136"/>
      </rPr>
      <t>Já venceu a data limite para a entrega do produto, mas ainda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foi entregue para mim a minha compra. Ainda estou aguardando. Espero que chegue na segunda-feira.</t>
    </r>
  </si>
  <si>
    <r>
      <rPr>
        <sz val="16"/>
        <color rgb="FF000000"/>
        <rFont val="新細明體"/>
        <family val="1"/>
        <charset val="136"/>
      </rPr>
      <t>recomendado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foi entregue o mobile de carrinho.</t>
    </r>
  </si>
  <si>
    <r>
      <rPr>
        <sz val="16"/>
        <color rgb="FF000000"/>
        <rFont val="新細明體"/>
        <family val="1"/>
        <charset val="136"/>
      </rPr>
      <t>Produto extremamente barato e ótimo para quebrar o galho, para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ter perigos de estragos no celular. Porém, somente para isso, pois a qualidade do produto é baixa, e a película veio estragada.</t>
    </r>
  </si>
  <si>
    <r>
      <rPr>
        <sz val="16"/>
        <color rgb="FF000000"/>
        <rFont val="新細明體"/>
        <family val="1"/>
        <charset val="136"/>
      </rPr>
      <t>GOSTEI MUITO DA ATEN</t>
    </r>
    <r>
      <rPr>
        <sz val="16"/>
        <color rgb="FF000000"/>
        <rFont val="Calibri"/>
        <family val="2"/>
        <scheme val="minor"/>
      </rPr>
      <t>Ç</t>
    </r>
    <r>
      <rPr>
        <sz val="16"/>
        <color rgb="FF000000"/>
        <rFont val="Calibri"/>
        <family val="1"/>
        <scheme val="minor"/>
      </rPr>
      <t>AO QUE VOCES TEM COM O CONSUMIDOR EST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DE PARAB</t>
    </r>
    <r>
      <rPr>
        <sz val="16"/>
        <color rgb="FF000000"/>
        <rFont val="Calibri"/>
        <family val="2"/>
        <scheme val="minor"/>
      </rPr>
      <t>É</t>
    </r>
    <r>
      <rPr>
        <sz val="16"/>
        <color rgb="FF000000"/>
        <rFont val="Calibri"/>
        <family val="1"/>
        <scheme val="minor"/>
      </rPr>
      <t>NS.</t>
    </r>
  </si>
  <si>
    <r>
      <rPr>
        <sz val="16"/>
        <color rgb="FF000000"/>
        <rFont val="新細明體"/>
        <family val="1"/>
        <charset val="136"/>
      </rPr>
      <t>PRODUTO CHEGOU NA MINHA RESID</t>
    </r>
    <r>
      <rPr>
        <sz val="16"/>
        <color rgb="FF000000"/>
        <rFont val="Calibri"/>
        <family val="2"/>
        <scheme val="minor"/>
      </rPr>
      <t>Ê</t>
    </r>
    <r>
      <rPr>
        <sz val="16"/>
        <color rgb="FF000000"/>
        <rFont val="Calibri"/>
        <family val="1"/>
        <scheme val="minor"/>
      </rPr>
      <t>NCIA TODO QUEBRADO AT</t>
    </r>
    <r>
      <rPr>
        <sz val="16"/>
        <color rgb="FF000000"/>
        <rFont val="Calibri"/>
        <family val="2"/>
        <scheme val="minor"/>
      </rPr>
      <t>É</t>
    </r>
    <r>
      <rPr>
        <sz val="16"/>
        <color rgb="FF000000"/>
        <rFont val="Calibri"/>
        <family val="1"/>
        <scheme val="minor"/>
      </rPr>
      <t xml:space="preserve"> AGORA 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CONSEGUI EFETUAR A TROCA UMA FALTA DE RESPEITO!</t>
    </r>
  </si>
  <si>
    <r>
      <rPr>
        <sz val="16"/>
        <color rgb="FF000000"/>
        <rFont val="新細明體"/>
        <family val="1"/>
        <charset val="136"/>
      </rPr>
      <t>N</t>
    </r>
    <r>
      <rPr>
        <sz val="16"/>
        <color rgb="FF000000"/>
        <rFont val="Calibri"/>
        <family val="2"/>
        <scheme val="minor"/>
      </rPr>
      <t>ã</t>
    </r>
    <r>
      <rPr>
        <sz val="16"/>
        <color rgb="FF000000"/>
        <rFont val="Calibri"/>
        <family val="1"/>
        <scheme val="minor"/>
      </rPr>
      <t>o chegou no prazo dado.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</si>
</sst>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</font>
    <font>
      <sz val="16"/>
      <color theme="1"/>
      <name val="新細明體"/>
      <family val="1"/>
      <charset val="136"/>
    </font>
    <font>
      <sz val="16"/>
      <color theme="1"/>
      <name val="新細明體"/>
      <family val="1"/>
      <charset val="136"/>
    </font>
    <font>
      <sz val="16"/>
      <color rgb="FF000000"/>
      <name val="新細明體"/>
      <family val="1"/>
      <charset val="136"/>
    </font>
    <font>
      <b/>
      <sz val="16"/>
      <color rgb="FFFFFFFF"/>
      <name val="新細明體"/>
      <family val="1"/>
      <charset val="136"/>
    </font>
    <font>
      <sz val="16"/>
      <color rgb="FF1F1F1F"/>
      <name val="新細明體"/>
      <family val="1"/>
      <charset val="136"/>
    </font>
    <font>
      <sz val="12"/>
      <color rgb="FF1F1F1F"/>
      <name val="新細明體"/>
      <family val="1"/>
      <charset val="136"/>
    </font>
    <font>
      <b/>
      <sz val="14"/>
      <color rgb="FFFFFFFF"/>
      <name val="新細明體"/>
      <family val="1"/>
      <charset val="136"/>
    </font>
    <font>
      <b/>
      <sz val="12"/>
      <color rgb="FF17365D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b/>
      <sz val="12"/>
      <color rgb="FF1F4E78"/>
      <name val="新細明體"/>
      <family val="1"/>
      <charset val="136"/>
    </font>
    <font>
      <b/>
      <sz val="12"/>
      <color rgb="FF375623"/>
      <name val="新細明體"/>
      <family val="1"/>
      <charset val="136"/>
    </font>
    <font>
      <sz val="16"/>
      <color rgb="FF000000"/>
      <name val="Calibri"/>
      <family val="2"/>
      <scheme val="minor"/>
    </font>
    <font>
      <sz val="16"/>
      <color rgb="FF000000"/>
      <name val="Calibri"/>
      <family val="1"/>
      <scheme val="minor"/>
    </font>
    <font>
      <sz val="9"/>
      <name val="Wawati TC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19">
    <border>
      <left/>
      <right/>
      <top/>
      <bottom/>
      <diagonal/>
    </border>
    <border>
      <left style="thin">
        <color rgb="FF163A5C"/>
      </left>
      <right/>
      <top style="thin">
        <color rgb="FF163A5C"/>
      </top>
      <bottom style="thin">
        <color rgb="FF163A5C"/>
      </bottom>
      <diagonal/>
    </border>
    <border>
      <left/>
      <right/>
      <top style="thin">
        <color rgb="FF163A5C"/>
      </top>
      <bottom style="thin">
        <color rgb="FF163A5C"/>
      </bottom>
      <diagonal/>
    </border>
    <border>
      <left/>
      <right style="thin">
        <color rgb="FF163A5C"/>
      </right>
      <top style="thin">
        <color rgb="FF163A5C"/>
      </top>
      <bottom style="thin">
        <color rgb="FF163A5C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/>
      <top style="thin">
        <color rgb="FFA9D18E"/>
      </top>
      <bottom/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A9D18E"/>
      </right>
      <top/>
      <bottom style="thin">
        <color rgb="FFA9D18E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10" fontId="5" fillId="0" borderId="0" xfId="0" applyNumberFormat="1" applyFont="1" applyAlignment="1">
      <alignment horizontal="center" vertical="top"/>
    </xf>
    <xf numFmtId="0" fontId="8" fillId="4" borderId="0" xfId="0" applyFont="1" applyFill="1">
      <alignment vertical="center"/>
    </xf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1" fontId="11" fillId="7" borderId="14" xfId="0" applyNumberFormat="1" applyFont="1" applyFill="1" applyBorder="1" applyAlignment="1">
      <alignment horizontal="center" vertical="center"/>
    </xf>
    <xf numFmtId="10" fontId="11" fillId="7" borderId="14" xfId="0" applyNumberFormat="1" applyFont="1" applyFill="1" applyBorder="1" applyAlignment="1">
      <alignment horizontal="center" vertical="center"/>
    </xf>
    <xf numFmtId="1" fontId="11" fillId="7" borderId="15" xfId="0" applyNumberFormat="1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1" fontId="11" fillId="7" borderId="17" xfId="0" applyNumberFormat="1" applyFont="1" applyFill="1" applyBorder="1" applyAlignment="1">
      <alignment horizontal="center" vertical="center"/>
    </xf>
    <xf numFmtId="10" fontId="11" fillId="7" borderId="17" xfId="0" applyNumberFormat="1" applyFont="1" applyFill="1" applyBorder="1" applyAlignment="1">
      <alignment horizontal="center" vertical="center"/>
    </xf>
    <xf numFmtId="1" fontId="11" fillId="7" borderId="18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1">
    <cellStyle name="一般" xfId="0" builtinId="0"/>
  </cellStyles>
  <dxfs count="18">
    <dxf>
      <font>
        <b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_ai_sample" displayName="int_ai_sample" ref="A1:N101" totalsRowShown="0" dataDxfId="17">
  <tableColumns count="14">
    <tableColumn id="1" xr3:uid="{00000000-0010-0000-0000-000001000000}" name="review_id" dataDxfId="16"/>
    <tableColumn id="2" xr3:uid="{00000000-0010-0000-0000-000002000000}" name="order_id" dataDxfId="15"/>
    <tableColumn id="3" xr3:uid="{00000000-0010-0000-0000-000003000000}" name="review_score" dataDxfId="14"/>
    <tableColumn id="4" xr3:uid="{00000000-0010-0000-0000-000004000000}" name="review_comment_title_message" dataDxfId="13"/>
    <tableColumn id="5" xr3:uid="{00000000-0010-0000-0000-000005000000}" name="review_translation_tw" dataDxfId="12"/>
    <tableColumn id="6" xr3:uid="{00000000-0010-0000-0000-000006000000}" name="sentiment" dataDxfId="11"/>
    <tableColumn id="7" xr3:uid="{00000000-0010-0000-0000-000007000000}" name="t01_delivery_logistics" dataDxfId="10"/>
    <tableColumn id="8" xr3:uid="{00000000-0010-0000-0000-000008000000}" name="t02_order_fulfillment" dataDxfId="9"/>
    <tableColumn id="9" xr3:uid="{00000000-0010-0000-0000-000009000000}" name="t03_product_quality" dataDxfId="8"/>
    <tableColumn id="10" xr3:uid="{00000000-0010-0000-0000-00000A000000}" name="t04_product_consistency" dataDxfId="7"/>
    <tableColumn id="11" xr3:uid="{00000000-0010-0000-0000-00000B000000}" name="t05_packaging_protection" dataDxfId="6"/>
    <tableColumn id="12" xr3:uid="{00000000-0010-0000-0000-00000C000000}" name="t06_customer_service" dataDxfId="5"/>
    <tableColumn id="13" xr3:uid="{00000000-0010-0000-0000-00000D000000}" name="t07_price_transaction" dataDxfId="4"/>
    <tableColumn id="14" xr3:uid="{00000000-0010-0000-0000-00000E000000}" name="t08_platform_system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3" workbookViewId="0">
      <selection activeCell="D16" sqref="D16"/>
    </sheetView>
  </sheetViews>
  <sheetFormatPr baseColWidth="10" defaultRowHeight="15"/>
  <cols>
    <col min="1" max="1" width="36.33203125" customWidth="1"/>
    <col min="2" max="2" width="36" customWidth="1"/>
    <col min="3" max="3" width="14.5" customWidth="1"/>
    <col min="4" max="4" width="80.6640625" customWidth="1"/>
    <col min="5" max="5" width="188.33203125" customWidth="1"/>
    <col min="6" max="6" width="15.5" customWidth="1"/>
    <col min="7" max="7" width="22" customWidth="1"/>
    <col min="8" max="8" width="21.83203125" customWidth="1"/>
    <col min="9" max="9" width="20.83203125" customWidth="1"/>
    <col min="10" max="10" width="24.6640625" customWidth="1"/>
    <col min="11" max="11" width="25.83203125" customWidth="1"/>
    <col min="12" max="12" width="21.83203125" customWidth="1"/>
    <col min="13" max="13" width="21.6640625" customWidth="1"/>
    <col min="14" max="14" width="21.33203125" customWidth="1"/>
  </cols>
  <sheetData>
    <row r="1" spans="1:14" s="2" customFormat="1" ht="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2">
      <c r="A2" s="2" t="s">
        <v>14</v>
      </c>
      <c r="B2" s="2" t="s">
        <v>15</v>
      </c>
      <c r="C2" s="2">
        <v>4</v>
      </c>
      <c r="D2" s="2" t="s">
        <v>16</v>
      </c>
      <c r="E2" s="2" t="s">
        <v>17</v>
      </c>
      <c r="F2" s="2" t="s">
        <v>18</v>
      </c>
      <c r="G2" s="2">
        <v>1</v>
      </c>
      <c r="H2" s="2">
        <v>0</v>
      </c>
      <c r="I2" s="2">
        <v>1</v>
      </c>
      <c r="J2" s="2">
        <v>1</v>
      </c>
      <c r="K2" s="2">
        <v>0</v>
      </c>
      <c r="L2" s="2">
        <v>0</v>
      </c>
      <c r="M2" s="2">
        <v>0</v>
      </c>
      <c r="N2" s="2">
        <v>0</v>
      </c>
    </row>
    <row r="3" spans="1:14" ht="22">
      <c r="A3" s="2" t="s">
        <v>19</v>
      </c>
      <c r="B3" s="2" t="s">
        <v>20</v>
      </c>
      <c r="C3" s="2">
        <v>5</v>
      </c>
      <c r="D3" s="2" t="s">
        <v>401</v>
      </c>
      <c r="E3" s="2" t="s">
        <v>21</v>
      </c>
      <c r="F3" s="2" t="s">
        <v>18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ht="22">
      <c r="A4" s="2" t="s">
        <v>22</v>
      </c>
      <c r="B4" s="2" t="s">
        <v>23</v>
      </c>
      <c r="C4" s="2">
        <v>5</v>
      </c>
      <c r="D4" s="2" t="s">
        <v>402</v>
      </c>
      <c r="E4" s="2" t="s">
        <v>24</v>
      </c>
      <c r="F4" s="2" t="s">
        <v>18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ht="22">
      <c r="A5" s="2" t="s">
        <v>25</v>
      </c>
      <c r="B5" s="2" t="s">
        <v>26</v>
      </c>
      <c r="C5" s="2">
        <v>1</v>
      </c>
      <c r="D5" s="2" t="s">
        <v>27</v>
      </c>
      <c r="E5" s="2" t="s">
        <v>28</v>
      </c>
      <c r="F5" s="2" t="s">
        <v>29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ht="22">
      <c r="A6" s="2" t="s">
        <v>30</v>
      </c>
      <c r="B6" s="2" t="s">
        <v>31</v>
      </c>
      <c r="C6" s="2">
        <v>3</v>
      </c>
      <c r="D6" s="2" t="s">
        <v>32</v>
      </c>
      <c r="E6" s="2" t="s">
        <v>33</v>
      </c>
      <c r="F6" s="2" t="s">
        <v>18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22">
      <c r="A7" s="2" t="s">
        <v>34</v>
      </c>
      <c r="B7" s="2" t="s">
        <v>35</v>
      </c>
      <c r="C7" s="2">
        <v>1</v>
      </c>
      <c r="D7" s="2" t="s">
        <v>403</v>
      </c>
      <c r="E7" s="2" t="s">
        <v>36</v>
      </c>
      <c r="F7" s="2" t="s">
        <v>29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ht="22">
      <c r="A8" s="2" t="s">
        <v>37</v>
      </c>
      <c r="B8" s="2" t="s">
        <v>38</v>
      </c>
      <c r="C8" s="2">
        <v>4</v>
      </c>
      <c r="D8" s="2" t="s">
        <v>39</v>
      </c>
      <c r="E8" s="2" t="s">
        <v>40</v>
      </c>
      <c r="F8" s="2" t="s">
        <v>18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ht="22">
      <c r="A9" s="2" t="s">
        <v>41</v>
      </c>
      <c r="B9" s="2" t="s">
        <v>42</v>
      </c>
      <c r="C9" s="2">
        <v>4</v>
      </c>
      <c r="D9" s="2" t="s">
        <v>404</v>
      </c>
      <c r="E9" s="2" t="s">
        <v>43</v>
      </c>
      <c r="F9" s="2" t="s">
        <v>18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ht="22">
      <c r="A10" s="2" t="s">
        <v>44</v>
      </c>
      <c r="B10" s="2" t="s">
        <v>45</v>
      </c>
      <c r="C10" s="2">
        <v>3</v>
      </c>
      <c r="D10" s="2" t="s">
        <v>405</v>
      </c>
      <c r="E10" s="2" t="s">
        <v>46</v>
      </c>
      <c r="F10" s="2" t="s">
        <v>29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22">
      <c r="A11" s="2" t="s">
        <v>47</v>
      </c>
      <c r="B11" s="2" t="s">
        <v>48</v>
      </c>
      <c r="C11" s="2">
        <v>5</v>
      </c>
      <c r="D11" s="2" t="s">
        <v>406</v>
      </c>
      <c r="E11" s="2" t="s">
        <v>49</v>
      </c>
      <c r="F11" s="2" t="s">
        <v>29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</row>
    <row r="12" spans="1:14" ht="22">
      <c r="A12" s="2" t="s">
        <v>50</v>
      </c>
      <c r="B12" s="2" t="s">
        <v>51</v>
      </c>
      <c r="C12" s="2">
        <v>4</v>
      </c>
      <c r="D12" s="2" t="s">
        <v>407</v>
      </c>
      <c r="E12" s="2" t="s">
        <v>52</v>
      </c>
      <c r="F12" s="2" t="s">
        <v>53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</row>
    <row r="13" spans="1:14" ht="22">
      <c r="A13" s="2" t="s">
        <v>54</v>
      </c>
      <c r="B13" s="2" t="s">
        <v>55</v>
      </c>
      <c r="C13" s="2">
        <v>1</v>
      </c>
      <c r="D13" s="2" t="s">
        <v>56</v>
      </c>
      <c r="E13" s="2" t="s">
        <v>57</v>
      </c>
      <c r="F13" s="2" t="s">
        <v>29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</row>
    <row r="14" spans="1:14" ht="22">
      <c r="A14" s="2" t="s">
        <v>58</v>
      </c>
      <c r="B14" s="2" t="s">
        <v>59</v>
      </c>
      <c r="C14" s="2">
        <v>5</v>
      </c>
      <c r="D14" s="2" t="s">
        <v>60</v>
      </c>
      <c r="E14" s="2" t="s">
        <v>61</v>
      </c>
      <c r="F14" s="2" t="s">
        <v>18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22">
      <c r="A15" s="2" t="s">
        <v>62</v>
      </c>
      <c r="B15" s="2" t="s">
        <v>63</v>
      </c>
      <c r="C15" s="2">
        <v>2</v>
      </c>
      <c r="D15" s="2" t="s">
        <v>408</v>
      </c>
      <c r="E15" s="2" t="s">
        <v>64</v>
      </c>
      <c r="F15" s="2" t="s">
        <v>29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 ht="22">
      <c r="A16" s="2" t="s">
        <v>65</v>
      </c>
      <c r="B16" s="2" t="s">
        <v>66</v>
      </c>
      <c r="C16" s="2">
        <v>2</v>
      </c>
      <c r="D16" s="2" t="s">
        <v>409</v>
      </c>
      <c r="E16" s="2" t="s">
        <v>67</v>
      </c>
      <c r="F16" s="2" t="s">
        <v>29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ht="22">
      <c r="A17" s="2" t="s">
        <v>68</v>
      </c>
      <c r="B17" s="2" t="s">
        <v>69</v>
      </c>
      <c r="C17" s="2">
        <v>1</v>
      </c>
      <c r="D17" s="2" t="s">
        <v>70</v>
      </c>
      <c r="E17" s="2" t="s">
        <v>71</v>
      </c>
      <c r="F17" s="2" t="s">
        <v>29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14" ht="22">
      <c r="A18" s="2" t="s">
        <v>72</v>
      </c>
      <c r="B18" s="2" t="s">
        <v>73</v>
      </c>
      <c r="C18" s="2">
        <v>5</v>
      </c>
      <c r="D18" s="2" t="s">
        <v>74</v>
      </c>
      <c r="E18" s="2" t="s">
        <v>75</v>
      </c>
      <c r="F18" s="2" t="s">
        <v>18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</row>
    <row r="19" spans="1:14" ht="22">
      <c r="A19" s="2" t="s">
        <v>76</v>
      </c>
      <c r="B19" s="2" t="s">
        <v>77</v>
      </c>
      <c r="C19" s="2">
        <v>4</v>
      </c>
      <c r="D19" s="2" t="s">
        <v>78</v>
      </c>
      <c r="E19" s="2" t="s">
        <v>79</v>
      </c>
      <c r="F19" s="2" t="s">
        <v>29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 ht="22">
      <c r="A20" s="2" t="s">
        <v>80</v>
      </c>
      <c r="B20" s="2" t="s">
        <v>81</v>
      </c>
      <c r="C20" s="2">
        <v>1</v>
      </c>
      <c r="D20" s="2" t="s">
        <v>410</v>
      </c>
      <c r="E20" s="2" t="s">
        <v>82</v>
      </c>
      <c r="F20" s="2" t="s">
        <v>29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ht="22">
      <c r="A21" s="2" t="s">
        <v>83</v>
      </c>
      <c r="B21" s="2" t="s">
        <v>84</v>
      </c>
      <c r="C21" s="2">
        <v>2</v>
      </c>
      <c r="D21" s="2" t="s">
        <v>411</v>
      </c>
      <c r="E21" s="2" t="s">
        <v>36</v>
      </c>
      <c r="F21" s="2" t="s">
        <v>29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 ht="22">
      <c r="A22" s="2" t="s">
        <v>85</v>
      </c>
      <c r="B22" s="2" t="s">
        <v>86</v>
      </c>
      <c r="C22" s="2">
        <v>1</v>
      </c>
      <c r="D22" s="2" t="s">
        <v>412</v>
      </c>
      <c r="E22" s="2" t="s">
        <v>87</v>
      </c>
      <c r="F22" s="2" t="s">
        <v>29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1</v>
      </c>
      <c r="M22" s="2">
        <v>0</v>
      </c>
      <c r="N22" s="2">
        <v>0</v>
      </c>
    </row>
    <row r="23" spans="1:14" ht="22">
      <c r="A23" s="2" t="s">
        <v>88</v>
      </c>
      <c r="B23" s="2" t="s">
        <v>89</v>
      </c>
      <c r="C23" s="2">
        <v>2</v>
      </c>
      <c r="D23" s="2" t="s">
        <v>90</v>
      </c>
      <c r="E23" s="2" t="s">
        <v>91</v>
      </c>
      <c r="F23" s="2" t="s">
        <v>29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14" ht="22">
      <c r="A24" s="2" t="s">
        <v>92</v>
      </c>
      <c r="B24" s="2" t="s">
        <v>93</v>
      </c>
      <c r="C24" s="2">
        <v>1</v>
      </c>
      <c r="D24" s="2" t="s">
        <v>413</v>
      </c>
      <c r="E24" s="2" t="s">
        <v>94</v>
      </c>
      <c r="F24" s="2" t="s">
        <v>29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22">
      <c r="A25" s="2" t="s">
        <v>95</v>
      </c>
      <c r="B25" s="2" t="s">
        <v>96</v>
      </c>
      <c r="C25" s="2">
        <v>1</v>
      </c>
      <c r="D25" s="2" t="s">
        <v>414</v>
      </c>
      <c r="E25" s="2" t="s">
        <v>97</v>
      </c>
      <c r="F25" s="2" t="s">
        <v>29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</row>
    <row r="26" spans="1:14" ht="22">
      <c r="A26" s="2" t="s">
        <v>98</v>
      </c>
      <c r="B26" s="2" t="s">
        <v>99</v>
      </c>
      <c r="C26" s="2">
        <v>3</v>
      </c>
      <c r="D26" s="2" t="s">
        <v>100</v>
      </c>
      <c r="E26" s="2" t="s">
        <v>101</v>
      </c>
      <c r="F26" s="2" t="s">
        <v>29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22">
      <c r="A27" s="2" t="s">
        <v>102</v>
      </c>
      <c r="B27" s="2" t="s">
        <v>103</v>
      </c>
      <c r="C27" s="2">
        <v>3</v>
      </c>
      <c r="D27" s="2" t="s">
        <v>104</v>
      </c>
      <c r="E27" s="2" t="s">
        <v>105</v>
      </c>
      <c r="F27" s="2" t="s">
        <v>106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14" ht="22">
      <c r="A28" s="2" t="s">
        <v>107</v>
      </c>
      <c r="B28" s="2" t="s">
        <v>108</v>
      </c>
      <c r="C28" s="2">
        <v>2</v>
      </c>
      <c r="D28" s="2" t="s">
        <v>415</v>
      </c>
      <c r="E28" s="2" t="s">
        <v>109</v>
      </c>
      <c r="F28" s="2" t="s">
        <v>29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22">
      <c r="A29" s="2" t="s">
        <v>110</v>
      </c>
      <c r="B29" s="2" t="s">
        <v>111</v>
      </c>
      <c r="C29" s="2">
        <v>1</v>
      </c>
      <c r="D29" s="2" t="s">
        <v>416</v>
      </c>
      <c r="E29" s="2" t="s">
        <v>112</v>
      </c>
      <c r="F29" s="2" t="s">
        <v>29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</row>
    <row r="30" spans="1:14" ht="22">
      <c r="A30" s="2" t="s">
        <v>113</v>
      </c>
      <c r="B30" s="2" t="s">
        <v>114</v>
      </c>
      <c r="C30" s="2">
        <v>4</v>
      </c>
      <c r="D30" s="2" t="s">
        <v>115</v>
      </c>
      <c r="E30" s="2" t="s">
        <v>116</v>
      </c>
      <c r="F30" s="2" t="s">
        <v>18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ht="22">
      <c r="A31" s="2" t="s">
        <v>117</v>
      </c>
      <c r="B31" s="2" t="s">
        <v>118</v>
      </c>
      <c r="C31" s="2">
        <v>5</v>
      </c>
      <c r="D31" s="2" t="s">
        <v>119</v>
      </c>
      <c r="E31" s="2" t="s">
        <v>120</v>
      </c>
      <c r="F31" s="2" t="s">
        <v>18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</row>
    <row r="32" spans="1:14" ht="22">
      <c r="A32" s="2" t="s">
        <v>121</v>
      </c>
      <c r="B32" s="2" t="s">
        <v>122</v>
      </c>
      <c r="C32" s="2">
        <v>2</v>
      </c>
      <c r="D32" s="2" t="s">
        <v>417</v>
      </c>
      <c r="E32" s="2" t="s">
        <v>123</v>
      </c>
      <c r="F32" s="2" t="s">
        <v>29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22">
      <c r="A33" s="2" t="s">
        <v>124</v>
      </c>
      <c r="B33" s="2" t="s">
        <v>125</v>
      </c>
      <c r="C33" s="2">
        <v>2</v>
      </c>
      <c r="D33" s="2" t="s">
        <v>418</v>
      </c>
      <c r="E33" s="2" t="s">
        <v>126</v>
      </c>
      <c r="F33" s="2" t="s">
        <v>29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1</v>
      </c>
      <c r="M33" s="2">
        <v>1</v>
      </c>
      <c r="N33" s="2">
        <v>0</v>
      </c>
    </row>
    <row r="34" spans="1:14" ht="22">
      <c r="A34" s="2" t="s">
        <v>127</v>
      </c>
      <c r="B34" s="2" t="s">
        <v>128</v>
      </c>
      <c r="C34" s="2">
        <v>3</v>
      </c>
      <c r="D34" s="2" t="s">
        <v>419</v>
      </c>
      <c r="E34" s="2" t="s">
        <v>129</v>
      </c>
      <c r="F34" s="2" t="s">
        <v>29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22">
      <c r="A35" s="2" t="s">
        <v>130</v>
      </c>
      <c r="B35" s="2" t="s">
        <v>131</v>
      </c>
      <c r="C35" s="2">
        <v>1</v>
      </c>
      <c r="D35" s="2" t="s">
        <v>420</v>
      </c>
      <c r="E35" s="2" t="s">
        <v>132</v>
      </c>
      <c r="F35" s="2" t="s">
        <v>29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14" ht="22">
      <c r="A36" s="2" t="s">
        <v>133</v>
      </c>
      <c r="B36" s="2" t="s">
        <v>134</v>
      </c>
      <c r="C36" s="2">
        <v>4</v>
      </c>
      <c r="D36" s="2" t="s">
        <v>135</v>
      </c>
      <c r="E36" s="2" t="s">
        <v>136</v>
      </c>
      <c r="F36" s="2" t="s">
        <v>18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14" ht="22">
      <c r="A37" s="2" t="s">
        <v>137</v>
      </c>
      <c r="B37" s="2" t="s">
        <v>138</v>
      </c>
      <c r="C37" s="2">
        <v>2</v>
      </c>
      <c r="D37" s="2" t="s">
        <v>139</v>
      </c>
      <c r="E37" s="2" t="s">
        <v>140</v>
      </c>
      <c r="F37" s="2" t="s">
        <v>53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</row>
    <row r="38" spans="1:14" ht="22">
      <c r="A38" s="2" t="s">
        <v>141</v>
      </c>
      <c r="B38" s="2" t="s">
        <v>142</v>
      </c>
      <c r="C38" s="2">
        <v>5</v>
      </c>
      <c r="D38" s="2" t="s">
        <v>143</v>
      </c>
      <c r="E38" s="2" t="s">
        <v>144</v>
      </c>
      <c r="F38" s="2" t="s">
        <v>18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</row>
    <row r="39" spans="1:14" ht="22">
      <c r="A39" s="2" t="s">
        <v>145</v>
      </c>
      <c r="B39" s="2" t="s">
        <v>146</v>
      </c>
      <c r="C39" s="2">
        <v>2</v>
      </c>
      <c r="D39" s="2" t="s">
        <v>421</v>
      </c>
      <c r="E39" s="2" t="s">
        <v>147</v>
      </c>
      <c r="F39" s="2" t="s">
        <v>29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</row>
    <row r="40" spans="1:14" ht="22">
      <c r="A40" s="2" t="s">
        <v>148</v>
      </c>
      <c r="B40" s="2" t="s">
        <v>149</v>
      </c>
      <c r="C40" s="2">
        <v>4</v>
      </c>
      <c r="D40" s="2" t="s">
        <v>150</v>
      </c>
      <c r="E40" s="2" t="s">
        <v>151</v>
      </c>
      <c r="F40" s="2" t="s">
        <v>18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</row>
    <row r="41" spans="1:14" ht="22">
      <c r="A41" s="2" t="s">
        <v>152</v>
      </c>
      <c r="B41" s="2" t="s">
        <v>153</v>
      </c>
      <c r="C41" s="2">
        <v>1</v>
      </c>
      <c r="D41" s="2" t="s">
        <v>422</v>
      </c>
      <c r="E41" s="2" t="s">
        <v>154</v>
      </c>
      <c r="F41" s="2" t="s">
        <v>29</v>
      </c>
      <c r="G41" s="2">
        <v>1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</row>
    <row r="42" spans="1:14" ht="22">
      <c r="A42" s="2" t="s">
        <v>155</v>
      </c>
      <c r="B42" s="2" t="s">
        <v>156</v>
      </c>
      <c r="C42" s="2">
        <v>3</v>
      </c>
      <c r="D42" s="2" t="s">
        <v>423</v>
      </c>
      <c r="E42" s="2" t="s">
        <v>157</v>
      </c>
      <c r="F42" s="2" t="s">
        <v>53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1:14" ht="22">
      <c r="A43" s="2" t="s">
        <v>158</v>
      </c>
      <c r="B43" s="2" t="s">
        <v>159</v>
      </c>
      <c r="C43" s="2">
        <v>3</v>
      </c>
      <c r="D43" s="2" t="s">
        <v>160</v>
      </c>
      <c r="E43" s="2" t="s">
        <v>161</v>
      </c>
      <c r="F43" s="2" t="s">
        <v>29</v>
      </c>
      <c r="G43" s="2">
        <v>0</v>
      </c>
      <c r="H43" s="2">
        <v>1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1</v>
      </c>
    </row>
    <row r="44" spans="1:14" ht="22">
      <c r="A44" s="2" t="s">
        <v>162</v>
      </c>
      <c r="B44" s="2" t="s">
        <v>163</v>
      </c>
      <c r="C44" s="2">
        <v>4</v>
      </c>
      <c r="D44" s="2" t="s">
        <v>164</v>
      </c>
      <c r="E44" s="2" t="s">
        <v>165</v>
      </c>
      <c r="F44" s="2" t="s">
        <v>18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</row>
    <row r="45" spans="1:14" ht="22">
      <c r="A45" s="2" t="s">
        <v>166</v>
      </c>
      <c r="B45" s="2" t="s">
        <v>167</v>
      </c>
      <c r="C45" s="2">
        <v>5</v>
      </c>
      <c r="D45" s="2" t="s">
        <v>424</v>
      </c>
      <c r="E45" s="2" t="s">
        <v>168</v>
      </c>
      <c r="F45" s="2" t="s">
        <v>18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 ht="22">
      <c r="A46" s="2" t="s">
        <v>169</v>
      </c>
      <c r="B46" s="2" t="s">
        <v>170</v>
      </c>
      <c r="C46" s="2">
        <v>4</v>
      </c>
      <c r="D46" s="2" t="s">
        <v>425</v>
      </c>
      <c r="E46" s="2" t="s">
        <v>171</v>
      </c>
      <c r="F46" s="2" t="s">
        <v>53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1:14" ht="22">
      <c r="A47" s="2" t="s">
        <v>172</v>
      </c>
      <c r="B47" s="2" t="s">
        <v>173</v>
      </c>
      <c r="C47" s="2">
        <v>1</v>
      </c>
      <c r="D47" s="2" t="s">
        <v>426</v>
      </c>
      <c r="E47" s="2" t="s">
        <v>174</v>
      </c>
      <c r="F47" s="2" t="s">
        <v>53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</row>
    <row r="48" spans="1:14" ht="22">
      <c r="A48" s="2" t="s">
        <v>175</v>
      </c>
      <c r="B48" s="2" t="s">
        <v>176</v>
      </c>
      <c r="C48" s="2">
        <v>1</v>
      </c>
      <c r="D48" s="2" t="s">
        <v>427</v>
      </c>
      <c r="E48" s="2" t="s">
        <v>177</v>
      </c>
      <c r="F48" s="2" t="s">
        <v>29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</row>
    <row r="49" spans="1:14" ht="22">
      <c r="A49" s="2" t="s">
        <v>178</v>
      </c>
      <c r="B49" s="2" t="s">
        <v>179</v>
      </c>
      <c r="C49" s="2">
        <v>1</v>
      </c>
      <c r="D49" s="2" t="s">
        <v>180</v>
      </c>
      <c r="E49" s="2" t="s">
        <v>181</v>
      </c>
      <c r="F49" s="2" t="s">
        <v>29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</row>
    <row r="50" spans="1:14" ht="22">
      <c r="A50" s="2" t="s">
        <v>182</v>
      </c>
      <c r="B50" s="2" t="s">
        <v>183</v>
      </c>
      <c r="C50" s="2">
        <v>4</v>
      </c>
      <c r="D50" s="2" t="s">
        <v>428</v>
      </c>
      <c r="E50" s="2" t="s">
        <v>184</v>
      </c>
      <c r="F50" s="2" t="s">
        <v>29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</row>
    <row r="51" spans="1:14" ht="22">
      <c r="A51" s="2" t="s">
        <v>185</v>
      </c>
      <c r="B51" s="2" t="s">
        <v>186</v>
      </c>
      <c r="C51" s="2">
        <v>4</v>
      </c>
      <c r="D51" s="2" t="s">
        <v>429</v>
      </c>
      <c r="E51" s="2" t="s">
        <v>187</v>
      </c>
      <c r="F51" s="2" t="s">
        <v>106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</row>
    <row r="52" spans="1:14" ht="22">
      <c r="A52" s="2" t="s">
        <v>188</v>
      </c>
      <c r="B52" s="2" t="s">
        <v>189</v>
      </c>
      <c r="C52" s="2">
        <v>1</v>
      </c>
      <c r="D52" s="2" t="s">
        <v>430</v>
      </c>
      <c r="E52" s="2" t="s">
        <v>190</v>
      </c>
      <c r="F52" s="2" t="s">
        <v>29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</row>
    <row r="53" spans="1:14" ht="22">
      <c r="A53" s="2" t="s">
        <v>191</v>
      </c>
      <c r="B53" s="2" t="s">
        <v>192</v>
      </c>
      <c r="C53" s="2">
        <v>5</v>
      </c>
      <c r="D53" s="2" t="s">
        <v>193</v>
      </c>
      <c r="E53" s="2" t="s">
        <v>194</v>
      </c>
      <c r="F53" s="2" t="s">
        <v>18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</row>
    <row r="54" spans="1:14" ht="22">
      <c r="A54" s="2" t="s">
        <v>195</v>
      </c>
      <c r="B54" s="2" t="s">
        <v>196</v>
      </c>
      <c r="C54" s="2">
        <v>4</v>
      </c>
      <c r="D54" s="2" t="s">
        <v>197</v>
      </c>
      <c r="E54" s="2" t="s">
        <v>136</v>
      </c>
      <c r="F54" s="2" t="s">
        <v>18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ht="22">
      <c r="A55" s="2" t="s">
        <v>198</v>
      </c>
      <c r="B55" s="2" t="s">
        <v>199</v>
      </c>
      <c r="C55" s="2">
        <v>3</v>
      </c>
      <c r="D55" s="2" t="s">
        <v>431</v>
      </c>
      <c r="E55" s="2" t="s">
        <v>200</v>
      </c>
      <c r="F55" s="2" t="s">
        <v>53</v>
      </c>
      <c r="G55" s="2">
        <v>0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</row>
    <row r="56" spans="1:14" ht="22">
      <c r="A56" s="2" t="s">
        <v>201</v>
      </c>
      <c r="B56" s="2" t="s">
        <v>202</v>
      </c>
      <c r="C56" s="2">
        <v>3</v>
      </c>
      <c r="D56" s="2" t="s">
        <v>203</v>
      </c>
      <c r="E56" s="2" t="s">
        <v>204</v>
      </c>
      <c r="F56" s="2" t="s">
        <v>18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</row>
    <row r="57" spans="1:14" ht="22">
      <c r="A57" s="2" t="s">
        <v>205</v>
      </c>
      <c r="B57" s="2" t="s">
        <v>206</v>
      </c>
      <c r="C57" s="2">
        <v>2</v>
      </c>
      <c r="D57" s="2" t="s">
        <v>432</v>
      </c>
      <c r="E57" s="2" t="s">
        <v>207</v>
      </c>
      <c r="F57" s="2" t="s">
        <v>29</v>
      </c>
      <c r="G57" s="2">
        <v>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</row>
    <row r="58" spans="1:14" ht="22">
      <c r="A58" s="2" t="s">
        <v>208</v>
      </c>
      <c r="B58" s="2" t="s">
        <v>209</v>
      </c>
      <c r="C58" s="2">
        <v>4</v>
      </c>
      <c r="D58" s="2" t="s">
        <v>433</v>
      </c>
      <c r="E58" s="2" t="s">
        <v>210</v>
      </c>
      <c r="F58" s="2" t="s">
        <v>29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</row>
    <row r="59" spans="1:14" ht="22">
      <c r="A59" s="2" t="s">
        <v>211</v>
      </c>
      <c r="B59" s="2" t="s">
        <v>212</v>
      </c>
      <c r="C59" s="2">
        <v>4</v>
      </c>
      <c r="D59" s="2" t="s">
        <v>434</v>
      </c>
      <c r="E59" s="2" t="s">
        <v>213</v>
      </c>
      <c r="F59" s="2" t="s">
        <v>18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</row>
    <row r="60" spans="1:14" ht="22">
      <c r="A60" s="2" t="s">
        <v>214</v>
      </c>
      <c r="B60" s="2" t="s">
        <v>215</v>
      </c>
      <c r="C60" s="2">
        <v>5</v>
      </c>
      <c r="D60" s="2" t="s">
        <v>435</v>
      </c>
      <c r="E60" s="2" t="s">
        <v>216</v>
      </c>
      <c r="F60" s="2" t="s">
        <v>18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 ht="22">
      <c r="A61" s="2" t="s">
        <v>217</v>
      </c>
      <c r="B61" s="2" t="s">
        <v>218</v>
      </c>
      <c r="C61" s="2">
        <v>4</v>
      </c>
      <c r="D61" s="2" t="s">
        <v>219</v>
      </c>
      <c r="E61" s="2" t="s">
        <v>220</v>
      </c>
      <c r="F61" s="2" t="s">
        <v>18</v>
      </c>
      <c r="G61" s="2">
        <v>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ht="22">
      <c r="A62" s="2" t="s">
        <v>221</v>
      </c>
      <c r="B62" s="2" t="s">
        <v>222</v>
      </c>
      <c r="C62" s="2">
        <v>3</v>
      </c>
      <c r="D62" s="2" t="s">
        <v>436</v>
      </c>
      <c r="E62" s="2" t="s">
        <v>223</v>
      </c>
      <c r="F62" s="2" t="s">
        <v>29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</row>
    <row r="63" spans="1:14" ht="22">
      <c r="A63" s="2" t="s">
        <v>224</v>
      </c>
      <c r="B63" s="2" t="s">
        <v>225</v>
      </c>
      <c r="C63" s="2">
        <v>4</v>
      </c>
      <c r="D63" s="2" t="s">
        <v>226</v>
      </c>
      <c r="E63" s="2" t="s">
        <v>227</v>
      </c>
      <c r="F63" s="2" t="s">
        <v>18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</row>
    <row r="64" spans="1:14" ht="22">
      <c r="A64" s="2" t="s">
        <v>228</v>
      </c>
      <c r="B64" s="2" t="s">
        <v>229</v>
      </c>
      <c r="C64" s="2">
        <v>4</v>
      </c>
      <c r="D64" s="2" t="s">
        <v>230</v>
      </c>
      <c r="E64" s="2" t="s">
        <v>231</v>
      </c>
      <c r="F64" s="2" t="s">
        <v>18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</row>
    <row r="65" spans="1:14" ht="22">
      <c r="A65" s="2" t="s">
        <v>232</v>
      </c>
      <c r="B65" s="2" t="s">
        <v>233</v>
      </c>
      <c r="C65" s="2">
        <v>5</v>
      </c>
      <c r="D65" s="2" t="s">
        <v>234</v>
      </c>
      <c r="E65" s="2" t="s">
        <v>235</v>
      </c>
      <c r="F65" s="2" t="s">
        <v>18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</row>
    <row r="66" spans="1:14" ht="22">
      <c r="A66" s="2" t="s">
        <v>236</v>
      </c>
      <c r="B66" s="2" t="s">
        <v>237</v>
      </c>
      <c r="C66" s="2">
        <v>4</v>
      </c>
      <c r="D66" s="2" t="s">
        <v>238</v>
      </c>
      <c r="E66" s="2" t="s">
        <v>239</v>
      </c>
      <c r="F66" s="2" t="s">
        <v>106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</row>
    <row r="67" spans="1:14" ht="22">
      <c r="A67" s="2" t="s">
        <v>240</v>
      </c>
      <c r="B67" s="2" t="s">
        <v>241</v>
      </c>
      <c r="C67" s="2">
        <v>5</v>
      </c>
      <c r="D67" s="2" t="s">
        <v>242</v>
      </c>
      <c r="E67" s="2" t="s">
        <v>243</v>
      </c>
      <c r="F67" s="2" t="s">
        <v>18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</row>
    <row r="68" spans="1:14" ht="22">
      <c r="A68" s="2" t="s">
        <v>244</v>
      </c>
      <c r="B68" s="2" t="s">
        <v>245</v>
      </c>
      <c r="C68" s="2">
        <v>5</v>
      </c>
      <c r="D68" s="2" t="s">
        <v>437</v>
      </c>
      <c r="E68" s="2" t="s">
        <v>246</v>
      </c>
      <c r="F68" s="2" t="s">
        <v>29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</row>
    <row r="69" spans="1:14" ht="22">
      <c r="A69" s="2" t="s">
        <v>247</v>
      </c>
      <c r="B69" s="2" t="s">
        <v>248</v>
      </c>
      <c r="C69" s="2">
        <v>3</v>
      </c>
      <c r="D69" s="2" t="s">
        <v>438</v>
      </c>
      <c r="E69" s="2" t="s">
        <v>249</v>
      </c>
      <c r="F69" s="2" t="s">
        <v>29</v>
      </c>
      <c r="G69" s="2">
        <v>0</v>
      </c>
      <c r="H69" s="2">
        <v>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</row>
    <row r="70" spans="1:14" ht="22">
      <c r="A70" s="2" t="s">
        <v>250</v>
      </c>
      <c r="B70" s="2" t="s">
        <v>251</v>
      </c>
      <c r="C70" s="2">
        <v>4</v>
      </c>
      <c r="D70" s="2" t="s">
        <v>252</v>
      </c>
      <c r="E70" s="2" t="s">
        <v>253</v>
      </c>
      <c r="F70" s="2" t="s">
        <v>18</v>
      </c>
      <c r="G70" s="2">
        <v>1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ht="22">
      <c r="A71" s="2" t="s">
        <v>254</v>
      </c>
      <c r="B71" s="2" t="s">
        <v>255</v>
      </c>
      <c r="C71" s="2">
        <v>5</v>
      </c>
      <c r="D71" s="2" t="s">
        <v>256</v>
      </c>
      <c r="E71" s="2" t="s">
        <v>257</v>
      </c>
      <c r="F71" s="2" t="s">
        <v>18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14" ht="22">
      <c r="A72" s="2" t="s">
        <v>258</v>
      </c>
      <c r="B72" s="2" t="s">
        <v>259</v>
      </c>
      <c r="C72" s="2">
        <v>2</v>
      </c>
      <c r="D72" s="2" t="s">
        <v>260</v>
      </c>
      <c r="E72" s="2" t="s">
        <v>261</v>
      </c>
      <c r="F72" s="2" t="s">
        <v>18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</row>
    <row r="73" spans="1:14" ht="22">
      <c r="A73" s="2" t="s">
        <v>262</v>
      </c>
      <c r="B73" s="2" t="s">
        <v>263</v>
      </c>
      <c r="C73" s="2">
        <v>2</v>
      </c>
      <c r="D73" s="2" t="s">
        <v>264</v>
      </c>
      <c r="E73" s="2" t="s">
        <v>265</v>
      </c>
      <c r="F73" s="2" t="s">
        <v>29</v>
      </c>
      <c r="G73" s="2">
        <v>0</v>
      </c>
      <c r="H73" s="2">
        <v>1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</row>
    <row r="74" spans="1:14" ht="22">
      <c r="A74" s="2" t="s">
        <v>266</v>
      </c>
      <c r="B74" s="2" t="s">
        <v>267</v>
      </c>
      <c r="C74" s="2">
        <v>3</v>
      </c>
      <c r="D74" s="2" t="s">
        <v>268</v>
      </c>
      <c r="E74" s="2" t="s">
        <v>269</v>
      </c>
      <c r="F74" s="2" t="s">
        <v>53</v>
      </c>
      <c r="G74" s="2">
        <v>0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</row>
    <row r="75" spans="1:14" ht="22">
      <c r="A75" s="2" t="s">
        <v>270</v>
      </c>
      <c r="B75" s="2" t="s">
        <v>271</v>
      </c>
      <c r="C75" s="2">
        <v>3</v>
      </c>
      <c r="D75" s="2" t="s">
        <v>272</v>
      </c>
      <c r="E75" s="2" t="s">
        <v>273</v>
      </c>
      <c r="F75" s="2" t="s">
        <v>53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</row>
    <row r="76" spans="1:14" ht="22">
      <c r="A76" s="2" t="s">
        <v>274</v>
      </c>
      <c r="B76" s="2" t="s">
        <v>275</v>
      </c>
      <c r="C76" s="2">
        <v>1</v>
      </c>
      <c r="D76" s="2" t="s">
        <v>276</v>
      </c>
      <c r="E76" s="2" t="s">
        <v>277</v>
      </c>
      <c r="F76" s="2" t="s">
        <v>29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14" ht="22">
      <c r="A77" s="2" t="s">
        <v>278</v>
      </c>
      <c r="B77" s="2" t="s">
        <v>279</v>
      </c>
      <c r="C77" s="2">
        <v>2</v>
      </c>
      <c r="D77" s="2" t="s">
        <v>439</v>
      </c>
      <c r="E77" s="2" t="s">
        <v>280</v>
      </c>
      <c r="F77" s="2" t="s">
        <v>29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</row>
    <row r="78" spans="1:14" ht="22">
      <c r="A78" s="2" t="s">
        <v>281</v>
      </c>
      <c r="B78" s="2" t="s">
        <v>282</v>
      </c>
      <c r="C78" s="2">
        <v>1</v>
      </c>
      <c r="D78" s="2" t="s">
        <v>440</v>
      </c>
      <c r="E78" s="2" t="s">
        <v>283</v>
      </c>
      <c r="F78" s="2" t="s">
        <v>29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 ht="22">
      <c r="A79" s="2" t="s">
        <v>284</v>
      </c>
      <c r="B79" s="2" t="s">
        <v>285</v>
      </c>
      <c r="C79" s="2">
        <v>1</v>
      </c>
      <c r="D79" s="2" t="s">
        <v>441</v>
      </c>
      <c r="E79" s="2" t="s">
        <v>286</v>
      </c>
      <c r="F79" s="2" t="s">
        <v>29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1</v>
      </c>
    </row>
    <row r="80" spans="1:14" ht="22">
      <c r="A80" s="2" t="s">
        <v>287</v>
      </c>
      <c r="B80" s="2" t="s">
        <v>288</v>
      </c>
      <c r="C80" s="2">
        <v>2</v>
      </c>
      <c r="D80" s="2" t="s">
        <v>442</v>
      </c>
      <c r="E80" s="2" t="s">
        <v>289</v>
      </c>
      <c r="F80" s="2" t="s">
        <v>29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</row>
    <row r="81" spans="1:14" ht="22">
      <c r="A81" s="2" t="s">
        <v>290</v>
      </c>
      <c r="B81" s="2" t="s">
        <v>291</v>
      </c>
      <c r="C81" s="2">
        <v>1</v>
      </c>
      <c r="D81" s="2" t="s">
        <v>292</v>
      </c>
      <c r="E81" s="2" t="s">
        <v>293</v>
      </c>
      <c r="F81" s="2" t="s">
        <v>53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 spans="1:14" ht="22">
      <c r="A82" s="2" t="s">
        <v>294</v>
      </c>
      <c r="B82" s="2" t="s">
        <v>295</v>
      </c>
      <c r="C82" s="2">
        <v>3</v>
      </c>
      <c r="D82" s="2" t="s">
        <v>296</v>
      </c>
      <c r="E82" s="2" t="s">
        <v>297</v>
      </c>
      <c r="F82" s="2" t="s">
        <v>53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</row>
    <row r="83" spans="1:14" ht="22">
      <c r="A83" s="2" t="s">
        <v>298</v>
      </c>
      <c r="B83" s="2" t="s">
        <v>299</v>
      </c>
      <c r="C83" s="2">
        <v>3</v>
      </c>
      <c r="D83" s="2" t="s">
        <v>443</v>
      </c>
      <c r="E83" s="2" t="s">
        <v>300</v>
      </c>
      <c r="F83" s="2" t="s">
        <v>18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</row>
    <row r="84" spans="1:14" ht="22">
      <c r="A84" s="2" t="s">
        <v>301</v>
      </c>
      <c r="B84" s="2" t="s">
        <v>302</v>
      </c>
      <c r="C84" s="2">
        <v>2</v>
      </c>
      <c r="D84" s="2" t="s">
        <v>444</v>
      </c>
      <c r="E84" s="2" t="s">
        <v>303</v>
      </c>
      <c r="F84" s="2" t="s">
        <v>29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4" ht="22">
      <c r="A85" s="2" t="s">
        <v>304</v>
      </c>
      <c r="B85" s="2" t="s">
        <v>305</v>
      </c>
      <c r="C85" s="2">
        <v>5</v>
      </c>
      <c r="D85" s="2" t="s">
        <v>306</v>
      </c>
      <c r="E85" s="2" t="s">
        <v>307</v>
      </c>
      <c r="F85" s="2" t="s">
        <v>18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</row>
    <row r="86" spans="1:14" ht="22">
      <c r="A86" s="2" t="s">
        <v>308</v>
      </c>
      <c r="B86" s="2" t="s">
        <v>309</v>
      </c>
      <c r="C86" s="2">
        <v>5</v>
      </c>
      <c r="D86" s="2" t="s">
        <v>310</v>
      </c>
      <c r="E86" s="2" t="s">
        <v>311</v>
      </c>
      <c r="F86" s="2" t="s">
        <v>18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4" ht="22">
      <c r="A87" s="2" t="s">
        <v>312</v>
      </c>
      <c r="B87" s="2" t="s">
        <v>313</v>
      </c>
      <c r="C87" s="2">
        <v>3</v>
      </c>
      <c r="D87" s="2" t="s">
        <v>314</v>
      </c>
      <c r="E87" s="2" t="s">
        <v>315</v>
      </c>
      <c r="F87" s="2" t="s">
        <v>18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</row>
    <row r="88" spans="1:14" ht="22">
      <c r="A88" s="2" t="s">
        <v>316</v>
      </c>
      <c r="B88" s="2" t="s">
        <v>317</v>
      </c>
      <c r="C88" s="2">
        <v>3</v>
      </c>
      <c r="D88" s="2" t="s">
        <v>445</v>
      </c>
      <c r="E88" s="2" t="s">
        <v>318</v>
      </c>
      <c r="F88" s="2" t="s">
        <v>29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</row>
    <row r="89" spans="1:14" ht="22">
      <c r="A89" s="2" t="s">
        <v>319</v>
      </c>
      <c r="B89" s="2" t="s">
        <v>320</v>
      </c>
      <c r="C89" s="2">
        <v>3</v>
      </c>
      <c r="D89" s="2" t="s">
        <v>446</v>
      </c>
      <c r="E89" s="2" t="s">
        <v>321</v>
      </c>
      <c r="F89" s="2" t="s">
        <v>53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1</v>
      </c>
      <c r="N89" s="2">
        <v>0</v>
      </c>
    </row>
    <row r="90" spans="1:14" ht="22">
      <c r="A90" s="2" t="s">
        <v>322</v>
      </c>
      <c r="B90" s="2" t="s">
        <v>323</v>
      </c>
      <c r="C90" s="2">
        <v>5</v>
      </c>
      <c r="D90" s="2" t="s">
        <v>447</v>
      </c>
      <c r="E90" s="2" t="s">
        <v>324</v>
      </c>
      <c r="F90" s="2" t="s">
        <v>18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</row>
    <row r="91" spans="1:14" ht="22">
      <c r="A91" s="2" t="s">
        <v>325</v>
      </c>
      <c r="B91" s="2" t="s">
        <v>326</v>
      </c>
      <c r="C91" s="2">
        <v>5</v>
      </c>
      <c r="D91" s="2" t="s">
        <v>327</v>
      </c>
      <c r="E91" s="2" t="s">
        <v>328</v>
      </c>
      <c r="F91" s="2" t="s">
        <v>18</v>
      </c>
      <c r="G91" s="2">
        <v>1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</row>
    <row r="92" spans="1:14" ht="22">
      <c r="A92" s="2" t="s">
        <v>329</v>
      </c>
      <c r="B92" s="2" t="s">
        <v>330</v>
      </c>
      <c r="C92" s="2">
        <v>5</v>
      </c>
      <c r="D92" s="2" t="s">
        <v>331</v>
      </c>
      <c r="E92" s="2" t="s">
        <v>332</v>
      </c>
      <c r="F92" s="2" t="s">
        <v>18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</row>
    <row r="93" spans="1:14" ht="22">
      <c r="A93" s="2" t="s">
        <v>333</v>
      </c>
      <c r="B93" s="2" t="s">
        <v>334</v>
      </c>
      <c r="C93" s="2">
        <v>2</v>
      </c>
      <c r="D93" s="2" t="s">
        <v>335</v>
      </c>
      <c r="E93" s="2" t="s">
        <v>336</v>
      </c>
      <c r="F93" s="2" t="s">
        <v>29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</row>
    <row r="94" spans="1:14" ht="22">
      <c r="A94" s="2" t="s">
        <v>337</v>
      </c>
      <c r="B94" s="2" t="s">
        <v>338</v>
      </c>
      <c r="C94" s="2">
        <v>1</v>
      </c>
      <c r="D94" s="2" t="s">
        <v>448</v>
      </c>
      <c r="E94" s="2" t="s">
        <v>339</v>
      </c>
      <c r="F94" s="2" t="s">
        <v>29</v>
      </c>
      <c r="G94" s="2">
        <v>0</v>
      </c>
      <c r="H94" s="2">
        <v>0</v>
      </c>
      <c r="I94" s="2">
        <v>0</v>
      </c>
      <c r="J94" s="2">
        <v>0</v>
      </c>
      <c r="K94" s="2">
        <v>1</v>
      </c>
      <c r="L94" s="2">
        <v>1</v>
      </c>
      <c r="M94" s="2">
        <v>0</v>
      </c>
      <c r="N94" s="2">
        <v>0</v>
      </c>
    </row>
    <row r="95" spans="1:14" ht="22">
      <c r="A95" s="2" t="s">
        <v>340</v>
      </c>
      <c r="B95" s="2" t="s">
        <v>341</v>
      </c>
      <c r="C95" s="2">
        <v>2</v>
      </c>
      <c r="D95" s="2" t="s">
        <v>449</v>
      </c>
      <c r="E95" s="2" t="s">
        <v>342</v>
      </c>
      <c r="F95" s="2" t="s">
        <v>29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</row>
    <row r="96" spans="1:14" ht="22">
      <c r="A96" s="2" t="s">
        <v>343</v>
      </c>
      <c r="B96" s="2" t="s">
        <v>344</v>
      </c>
      <c r="C96" s="2">
        <v>3</v>
      </c>
      <c r="D96" s="2" t="s">
        <v>345</v>
      </c>
      <c r="E96" s="2" t="s">
        <v>346</v>
      </c>
      <c r="F96" s="2" t="s">
        <v>29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4" ht="22">
      <c r="A97" s="2" t="s">
        <v>347</v>
      </c>
      <c r="B97" s="2" t="s">
        <v>348</v>
      </c>
      <c r="C97" s="2">
        <v>2</v>
      </c>
      <c r="D97" s="2" t="s">
        <v>349</v>
      </c>
      <c r="E97" s="2" t="s">
        <v>350</v>
      </c>
      <c r="F97" s="2" t="s">
        <v>29</v>
      </c>
      <c r="G97" s="2">
        <v>0</v>
      </c>
      <c r="H97" s="2">
        <v>0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</row>
    <row r="98" spans="1:14" ht="22">
      <c r="A98" s="2" t="s">
        <v>351</v>
      </c>
      <c r="B98" s="2" t="s">
        <v>352</v>
      </c>
      <c r="C98" s="2">
        <v>2</v>
      </c>
      <c r="D98" s="2" t="s">
        <v>353</v>
      </c>
      <c r="E98" s="2" t="s">
        <v>354</v>
      </c>
      <c r="F98" s="2" t="s">
        <v>29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 ht="22">
      <c r="A99" s="2" t="s">
        <v>355</v>
      </c>
      <c r="B99" s="2" t="s">
        <v>356</v>
      </c>
      <c r="C99" s="2">
        <v>5</v>
      </c>
      <c r="D99" s="2" t="s">
        <v>357</v>
      </c>
      <c r="E99" s="2" t="s">
        <v>358</v>
      </c>
      <c r="F99" s="2" t="s">
        <v>18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 ht="22">
      <c r="A100" s="2" t="s">
        <v>359</v>
      </c>
      <c r="B100" s="2" t="s">
        <v>360</v>
      </c>
      <c r="C100" s="2">
        <v>3</v>
      </c>
      <c r="D100" s="2" t="s">
        <v>361</v>
      </c>
      <c r="E100" s="2" t="s">
        <v>362</v>
      </c>
      <c r="F100" s="2" t="s">
        <v>29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</row>
    <row r="101" spans="1:14" ht="22">
      <c r="A101" s="2" t="s">
        <v>363</v>
      </c>
      <c r="B101" s="2" t="s">
        <v>364</v>
      </c>
      <c r="C101" s="2">
        <v>2</v>
      </c>
      <c r="D101" s="2" t="s">
        <v>365</v>
      </c>
      <c r="E101" s="2" t="s">
        <v>366</v>
      </c>
      <c r="F101" s="2" t="s">
        <v>53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workbookViewId="0">
      <selection sqref="A1:N1"/>
    </sheetView>
  </sheetViews>
  <sheetFormatPr baseColWidth="10" defaultRowHeight="15"/>
  <cols>
    <col min="1" max="1" width="48.1640625" customWidth="1"/>
    <col min="2" max="2" width="47.83203125" customWidth="1"/>
    <col min="3" max="3" width="16.1640625" customWidth="1"/>
    <col min="4" max="4" width="255" customWidth="1"/>
    <col min="5" max="5" width="204" customWidth="1"/>
    <col min="6" max="6" width="34.83203125" customWidth="1"/>
    <col min="7" max="7" width="26.5" customWidth="1"/>
    <col min="8" max="8" width="25.6640625" customWidth="1"/>
    <col min="9" max="9" width="24.33203125" customWidth="1"/>
    <col min="10" max="10" width="30" customWidth="1"/>
    <col min="11" max="11" width="31.33203125" customWidth="1"/>
    <col min="12" max="12" width="26.1640625" customWidth="1"/>
    <col min="13" max="13" width="25.83203125" customWidth="1"/>
    <col min="14" max="14" width="25.33203125" customWidth="1"/>
  </cols>
  <sheetData>
    <row r="1" spans="1:14" s="2" customFormat="1" ht="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367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2">
      <c r="A2" s="2" t="s">
        <v>14</v>
      </c>
      <c r="B2" s="2" t="s">
        <v>15</v>
      </c>
      <c r="C2" s="2">
        <v>4</v>
      </c>
      <c r="D2" s="2" t="s">
        <v>16</v>
      </c>
      <c r="E2" s="2" t="s">
        <v>17</v>
      </c>
      <c r="F2" s="2" t="s">
        <v>18</v>
      </c>
      <c r="G2" s="2">
        <v>1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</row>
    <row r="3" spans="1:14" ht="22">
      <c r="A3" s="2" t="s">
        <v>19</v>
      </c>
      <c r="B3" s="2" t="s">
        <v>20</v>
      </c>
      <c r="C3" s="2">
        <v>5</v>
      </c>
      <c r="D3" s="2" t="s">
        <v>401</v>
      </c>
      <c r="E3" s="2" t="s">
        <v>21</v>
      </c>
      <c r="F3" s="2" t="s">
        <v>18</v>
      </c>
      <c r="G3" s="2">
        <v>1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</row>
    <row r="4" spans="1:14" ht="22">
      <c r="A4" s="2" t="s">
        <v>22</v>
      </c>
      <c r="B4" s="2" t="s">
        <v>23</v>
      </c>
      <c r="C4" s="2">
        <v>5</v>
      </c>
      <c r="D4" s="2" t="s">
        <v>402</v>
      </c>
      <c r="E4" s="2" t="s">
        <v>24</v>
      </c>
      <c r="F4" s="2" t="s">
        <v>18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ht="22">
      <c r="A5" s="2" t="s">
        <v>25</v>
      </c>
      <c r="B5" s="2" t="s">
        <v>26</v>
      </c>
      <c r="C5" s="2">
        <v>1</v>
      </c>
      <c r="D5" s="2" t="s">
        <v>27</v>
      </c>
      <c r="E5" s="2" t="s">
        <v>28</v>
      </c>
      <c r="F5" s="2" t="s">
        <v>29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ht="22">
      <c r="A6" s="2" t="s">
        <v>30</v>
      </c>
      <c r="B6" s="2" t="s">
        <v>31</v>
      </c>
      <c r="C6" s="2">
        <v>3</v>
      </c>
      <c r="D6" s="2" t="s">
        <v>32</v>
      </c>
      <c r="E6" s="2" t="s">
        <v>33</v>
      </c>
      <c r="F6" s="2" t="s">
        <v>18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22">
      <c r="A7" s="2" t="s">
        <v>34</v>
      </c>
      <c r="B7" s="2" t="s">
        <v>35</v>
      </c>
      <c r="C7" s="2">
        <v>1</v>
      </c>
      <c r="D7" s="2" t="s">
        <v>403</v>
      </c>
      <c r="E7" s="2" t="s">
        <v>36</v>
      </c>
      <c r="F7" s="2" t="s">
        <v>29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ht="22">
      <c r="A8" s="2" t="s">
        <v>37</v>
      </c>
      <c r="B8" s="2" t="s">
        <v>38</v>
      </c>
      <c r="C8" s="2">
        <v>4</v>
      </c>
      <c r="D8" s="2" t="s">
        <v>39</v>
      </c>
      <c r="E8" s="2" t="s">
        <v>40</v>
      </c>
      <c r="F8" s="2" t="s">
        <v>18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ht="22">
      <c r="A9" s="2" t="s">
        <v>41</v>
      </c>
      <c r="B9" s="2" t="s">
        <v>42</v>
      </c>
      <c r="C9" s="2">
        <v>4</v>
      </c>
      <c r="D9" s="2" t="s">
        <v>404</v>
      </c>
      <c r="E9" s="2" t="s">
        <v>43</v>
      </c>
      <c r="F9" s="2" t="s">
        <v>53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ht="22">
      <c r="A10" s="2" t="s">
        <v>44</v>
      </c>
      <c r="B10" s="2" t="s">
        <v>45</v>
      </c>
      <c r="C10" s="2">
        <v>3</v>
      </c>
      <c r="D10" s="2" t="s">
        <v>405</v>
      </c>
      <c r="E10" s="2" t="s">
        <v>46</v>
      </c>
      <c r="F10" s="2" t="s">
        <v>29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22">
      <c r="A11" s="2" t="s">
        <v>47</v>
      </c>
      <c r="B11" s="2" t="s">
        <v>48</v>
      </c>
      <c r="C11" s="2">
        <v>5</v>
      </c>
      <c r="D11" s="2" t="s">
        <v>406</v>
      </c>
      <c r="E11" s="2" t="s">
        <v>49</v>
      </c>
      <c r="F11" s="2" t="s">
        <v>29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ht="22">
      <c r="A12" s="2" t="s">
        <v>50</v>
      </c>
      <c r="B12" s="2" t="s">
        <v>51</v>
      </c>
      <c r="C12" s="2">
        <v>4</v>
      </c>
      <c r="D12" s="2" t="s">
        <v>407</v>
      </c>
      <c r="E12" s="2" t="s">
        <v>52</v>
      </c>
      <c r="F12" s="2" t="s">
        <v>53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</row>
    <row r="13" spans="1:14" ht="22">
      <c r="A13" s="2" t="s">
        <v>54</v>
      </c>
      <c r="B13" s="2" t="s">
        <v>55</v>
      </c>
      <c r="C13" s="2">
        <v>1</v>
      </c>
      <c r="D13" s="2" t="s">
        <v>56</v>
      </c>
      <c r="E13" s="2" t="s">
        <v>57</v>
      </c>
      <c r="F13" s="2" t="s">
        <v>29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 ht="22">
      <c r="A14" s="2" t="s">
        <v>58</v>
      </c>
      <c r="B14" s="2" t="s">
        <v>59</v>
      </c>
      <c r="C14" s="2">
        <v>5</v>
      </c>
      <c r="D14" s="2" t="s">
        <v>60</v>
      </c>
      <c r="E14" s="2" t="s">
        <v>61</v>
      </c>
      <c r="F14" s="2" t="s">
        <v>18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22">
      <c r="A15" s="2" t="s">
        <v>62</v>
      </c>
      <c r="B15" s="2" t="s">
        <v>63</v>
      </c>
      <c r="C15" s="2">
        <v>2</v>
      </c>
      <c r="D15" s="2" t="s">
        <v>408</v>
      </c>
      <c r="E15" s="2" t="s">
        <v>64</v>
      </c>
      <c r="F15" s="2" t="s">
        <v>29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 ht="22">
      <c r="A16" s="2" t="s">
        <v>65</v>
      </c>
      <c r="B16" s="2" t="s">
        <v>66</v>
      </c>
      <c r="C16" s="2">
        <v>2</v>
      </c>
      <c r="D16" s="2" t="s">
        <v>409</v>
      </c>
      <c r="E16" s="2" t="s">
        <v>67</v>
      </c>
      <c r="F16" s="2" t="s">
        <v>29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ht="22">
      <c r="A17" s="2" t="s">
        <v>68</v>
      </c>
      <c r="B17" s="2" t="s">
        <v>69</v>
      </c>
      <c r="C17" s="2">
        <v>1</v>
      </c>
      <c r="D17" s="2" t="s">
        <v>70</v>
      </c>
      <c r="E17" s="2" t="s">
        <v>71</v>
      </c>
      <c r="F17" s="2" t="s">
        <v>29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14" ht="22">
      <c r="A18" s="2" t="s">
        <v>72</v>
      </c>
      <c r="B18" s="2" t="s">
        <v>73</v>
      </c>
      <c r="C18" s="2">
        <v>5</v>
      </c>
      <c r="D18" s="2" t="s">
        <v>74</v>
      </c>
      <c r="E18" s="2" t="s">
        <v>75</v>
      </c>
      <c r="F18" s="2" t="s">
        <v>18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ht="22">
      <c r="A19" s="2" t="s">
        <v>76</v>
      </c>
      <c r="B19" s="2" t="s">
        <v>77</v>
      </c>
      <c r="C19" s="2">
        <v>4</v>
      </c>
      <c r="D19" s="2" t="s">
        <v>78</v>
      </c>
      <c r="E19" s="2" t="s">
        <v>79</v>
      </c>
      <c r="F19" s="2" t="s">
        <v>29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 ht="22">
      <c r="A20" s="2" t="s">
        <v>80</v>
      </c>
      <c r="B20" s="2" t="s">
        <v>81</v>
      </c>
      <c r="C20" s="2">
        <v>1</v>
      </c>
      <c r="D20" s="2" t="s">
        <v>410</v>
      </c>
      <c r="E20" s="2" t="s">
        <v>82</v>
      </c>
      <c r="F20" s="2" t="s">
        <v>29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ht="22">
      <c r="A21" s="2" t="s">
        <v>83</v>
      </c>
      <c r="B21" s="2" t="s">
        <v>84</v>
      </c>
      <c r="C21" s="2">
        <v>2</v>
      </c>
      <c r="D21" s="2" t="s">
        <v>411</v>
      </c>
      <c r="E21" s="2" t="s">
        <v>36</v>
      </c>
      <c r="F21" s="2" t="s">
        <v>29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 ht="22">
      <c r="A22" s="2" t="s">
        <v>85</v>
      </c>
      <c r="B22" s="2" t="s">
        <v>86</v>
      </c>
      <c r="C22" s="2">
        <v>1</v>
      </c>
      <c r="D22" s="2" t="s">
        <v>412</v>
      </c>
      <c r="E22" s="2" t="s">
        <v>87</v>
      </c>
      <c r="F22" s="2" t="s">
        <v>29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0</v>
      </c>
      <c r="N22" s="2">
        <v>0</v>
      </c>
    </row>
    <row r="23" spans="1:14" ht="22">
      <c r="A23" s="2" t="s">
        <v>88</v>
      </c>
      <c r="B23" s="2" t="s">
        <v>89</v>
      </c>
      <c r="C23" s="2">
        <v>2</v>
      </c>
      <c r="D23" s="2" t="s">
        <v>90</v>
      </c>
      <c r="E23" s="2" t="s">
        <v>91</v>
      </c>
      <c r="F23" s="2" t="s">
        <v>53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14" ht="22">
      <c r="A24" s="2" t="s">
        <v>92</v>
      </c>
      <c r="B24" s="2" t="s">
        <v>93</v>
      </c>
      <c r="C24" s="2">
        <v>1</v>
      </c>
      <c r="D24" s="2" t="s">
        <v>413</v>
      </c>
      <c r="E24" s="2" t="s">
        <v>94</v>
      </c>
      <c r="F24" s="2" t="s">
        <v>29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22">
      <c r="A25" s="2" t="s">
        <v>95</v>
      </c>
      <c r="B25" s="2" t="s">
        <v>96</v>
      </c>
      <c r="C25" s="2">
        <v>1</v>
      </c>
      <c r="D25" s="2" t="s">
        <v>414</v>
      </c>
      <c r="E25" s="2" t="s">
        <v>97</v>
      </c>
      <c r="F25" s="2" t="s">
        <v>29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</row>
    <row r="26" spans="1:14" ht="22">
      <c r="A26" s="2" t="s">
        <v>98</v>
      </c>
      <c r="B26" s="2" t="s">
        <v>99</v>
      </c>
      <c r="C26" s="2">
        <v>3</v>
      </c>
      <c r="D26" s="2" t="s">
        <v>100</v>
      </c>
      <c r="E26" s="2" t="s">
        <v>101</v>
      </c>
      <c r="F26" s="2" t="s">
        <v>53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22">
      <c r="A27" s="2" t="s">
        <v>102</v>
      </c>
      <c r="B27" s="2" t="s">
        <v>103</v>
      </c>
      <c r="C27" s="2">
        <v>3</v>
      </c>
      <c r="D27" s="2" t="s">
        <v>104</v>
      </c>
      <c r="E27" s="2" t="s">
        <v>105</v>
      </c>
      <c r="F27" s="3" t="s">
        <v>106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14" ht="22">
      <c r="A28" s="2" t="s">
        <v>107</v>
      </c>
      <c r="B28" s="2" t="s">
        <v>108</v>
      </c>
      <c r="C28" s="2">
        <v>2</v>
      </c>
      <c r="D28" s="2" t="s">
        <v>415</v>
      </c>
      <c r="E28" s="2" t="s">
        <v>109</v>
      </c>
      <c r="F28" s="3" t="s">
        <v>106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22">
      <c r="A29" s="2" t="s">
        <v>110</v>
      </c>
      <c r="B29" s="2" t="s">
        <v>111</v>
      </c>
      <c r="C29" s="2">
        <v>1</v>
      </c>
      <c r="D29" s="2" t="s">
        <v>416</v>
      </c>
      <c r="E29" s="2" t="s">
        <v>112</v>
      </c>
      <c r="F29" s="2" t="s">
        <v>29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1:14" ht="22">
      <c r="A30" s="2" t="s">
        <v>113</v>
      </c>
      <c r="B30" s="2" t="s">
        <v>114</v>
      </c>
      <c r="C30" s="2">
        <v>4</v>
      </c>
      <c r="D30" s="2" t="s">
        <v>115</v>
      </c>
      <c r="E30" s="2" t="s">
        <v>116</v>
      </c>
      <c r="F30" s="2" t="s">
        <v>18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ht="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2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2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2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2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2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2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2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2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2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2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2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2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2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2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2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2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2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2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2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2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2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2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2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2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2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2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2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2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2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2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"/>
  <sheetViews>
    <sheetView showGridLines="0" topLeftCell="M1" workbookViewId="0">
      <selection activeCell="M18" sqref="M18"/>
    </sheetView>
  </sheetViews>
  <sheetFormatPr baseColWidth="10" defaultRowHeight="22"/>
  <cols>
    <col min="1" max="1" width="34" style="2" customWidth="1"/>
    <col min="2" max="2" width="12" style="2" customWidth="1"/>
    <col min="3" max="3" width="48" style="2" customWidth="1"/>
    <col min="4" max="5" width="16" style="2" customWidth="1"/>
    <col min="6" max="7" width="18" style="2" customWidth="1"/>
    <col min="8" max="8" width="13" style="2" customWidth="1"/>
    <col min="9" max="15" width="13" customWidth="1"/>
    <col min="16" max="16" width="10.83203125" style="2"/>
    <col min="17" max="17" width="18" customWidth="1"/>
    <col min="18" max="25" width="12" customWidth="1"/>
    <col min="26" max="16384" width="10.83203125" style="2"/>
  </cols>
  <sheetData>
    <row r="1" spans="1:25" ht="28" customHeight="1">
      <c r="A1" s="4" t="s">
        <v>0</v>
      </c>
      <c r="B1" s="5" t="s">
        <v>2</v>
      </c>
      <c r="C1" s="5" t="s">
        <v>4</v>
      </c>
      <c r="D1" s="5" t="s">
        <v>368</v>
      </c>
      <c r="E1" s="5" t="s">
        <v>369</v>
      </c>
      <c r="F1" s="5" t="s">
        <v>370</v>
      </c>
      <c r="G1" s="5" t="s">
        <v>371</v>
      </c>
      <c r="H1" s="5" t="s">
        <v>372</v>
      </c>
      <c r="I1" s="5" t="s">
        <v>373</v>
      </c>
      <c r="J1" s="5" t="s">
        <v>374</v>
      </c>
      <c r="K1" s="5" t="s">
        <v>375</v>
      </c>
      <c r="L1" s="5" t="s">
        <v>376</v>
      </c>
      <c r="M1" s="5" t="s">
        <v>377</v>
      </c>
      <c r="N1" s="5" t="s">
        <v>378</v>
      </c>
      <c r="O1" s="6" t="s">
        <v>379</v>
      </c>
      <c r="Q1" s="39" t="s">
        <v>380</v>
      </c>
      <c r="R1" s="39"/>
      <c r="S1" s="39"/>
      <c r="T1" s="39"/>
      <c r="U1" s="39"/>
      <c r="V1" s="39"/>
      <c r="W1" s="39"/>
      <c r="X1" s="39"/>
      <c r="Y1" s="39"/>
    </row>
    <row r="2" spans="1:25" ht="22" customHeight="1">
      <c r="A2" s="7" t="s">
        <v>14</v>
      </c>
      <c r="B2" s="7">
        <f>IFERROR(VLOOKUP($A2,int_ai_sample!$A$2:$N$101,3,FALSE),"")</f>
        <v>4</v>
      </c>
      <c r="C2" s="8" t="str">
        <f>IFERROR(VLOOKUP($A2,int_ai_sample!$A$2:$N$101,5,FALSE),"")</f>
        <v>晚上好，我在 lannister 的實體店買了8年，還是會推薦，因為所有商品都會在期限內送到，而且品質跟網站上展示的一樣。非常感謝，能成為你們的一家人。</v>
      </c>
      <c r="D2" s="7" t="str">
        <f>IFERROR(VLOOKUP($A2,int_ai_sample!$A$2:$N$101,6,FALSE),"")</f>
        <v>positive</v>
      </c>
      <c r="E2" s="7" t="str">
        <f>IFERROR(VLOOKUP($A2,人工標註!$A$2:$N$30,6,FALSE),"")</f>
        <v>positive</v>
      </c>
      <c r="F2" s="9" t="str">
        <f>IF(OR(D2="",E2=""),"",IF(D2=E2,"是","否"))</f>
        <v>是</v>
      </c>
      <c r="G2" s="11">
        <f>IFERROR(COUNTIF($F$2:$F$30,"是")/COUNTA($A$2:$A$30),0)</f>
        <v>0.86206896551724133</v>
      </c>
      <c r="H2" s="10" t="str">
        <f>IFERROR(IF(VLOOKUP($A2,int_ai_sample!$A$2:$N$101,7,FALSE)=VLOOKUP($A2,人工標註!$A$2:$N$30,7,FALSE),"是","否"),"")</f>
        <v>是</v>
      </c>
      <c r="I2" s="10" t="str">
        <f>IFERROR(IF(VLOOKUP($A2,int_ai_sample!$A$2:$N$101,8,FALSE)=VLOOKUP($A2,人工標註!$A$2:$N$30,8,FALSE),"是","否"),"")</f>
        <v>是</v>
      </c>
      <c r="J2" s="10" t="str">
        <f>IFERROR(IF(VLOOKUP($A2,int_ai_sample!$A$2:$N$101,9,FALSE)=VLOOKUP($A2,人工標註!$A$2:$N$30,9,FALSE),"是","否"),"")</f>
        <v>否</v>
      </c>
      <c r="K2" s="10" t="str">
        <f>IFERROR(IF(VLOOKUP($A2,int_ai_sample!$A$2:$N$101,10,FALSE)=VLOOKUP($A2,人工標註!$A$2:$N$30,10,FALSE),"是","否"),"")</f>
        <v>是</v>
      </c>
      <c r="L2" s="10" t="str">
        <f>IFERROR(IF(VLOOKUP($A2,int_ai_sample!$A$2:$N$101,11,FALSE)=VLOOKUP($A2,人工標註!$A$2:$N$30,11,FALSE),"是","否"),"")</f>
        <v>是</v>
      </c>
      <c r="M2" s="10" t="str">
        <f>IFERROR(IF(VLOOKUP($A2,int_ai_sample!$A$2:$N$101,12,FALSE)=VLOOKUP($A2,人工標註!$A$2:$N$30,12,FALSE),"是","否"),"")</f>
        <v>是</v>
      </c>
      <c r="N2" s="10" t="str">
        <f>IFERROR(IF(VLOOKUP($A2,int_ai_sample!$A$2:$N$101,13,FALSE)=VLOOKUP($A2,人工標註!$A$2:$N$30,13,FALSE),"是","否"),"")</f>
        <v>是</v>
      </c>
      <c r="O2" s="10" t="str">
        <f>IFERROR(IF(VLOOKUP($A2,int_ai_sample!$A$2:$N$101,14,FALSE)=VLOOKUP($A2,人工標註!$A$2:$N$30,14,FALSE),"是","否"),"")</f>
        <v>是</v>
      </c>
      <c r="Q2" s="12" t="s">
        <v>381</v>
      </c>
      <c r="R2" s="13">
        <f>COUNTA($A$2:$A$30)</f>
        <v>29</v>
      </c>
    </row>
    <row r="3" spans="1:25" ht="22" customHeight="1">
      <c r="A3" s="7" t="s">
        <v>19</v>
      </c>
      <c r="B3" s="7">
        <f>IFERROR(VLOOKUP($A3,int_ai_sample!$A$2:$N$101,3,FALSE),"")</f>
        <v>5</v>
      </c>
      <c r="C3" s="8" t="str">
        <f>IFERROR(VLOOKUP($A3,int_ai_sample!$A$2:$N$101,5,FALSE),"")</f>
        <v>商品比預期更早送到，而且狀態非常好！</v>
      </c>
      <c r="D3" s="7" t="str">
        <f>IFERROR(VLOOKUP($A3,int_ai_sample!$A$2:$N$101,6,FALSE),"")</f>
        <v>positive</v>
      </c>
      <c r="E3" s="7" t="str">
        <f>IFERROR(VLOOKUP($A3,人工標註!$A$2:$N$30,6,FALSE),"")</f>
        <v>positive</v>
      </c>
      <c r="F3" s="9" t="str">
        <f t="shared" ref="F3:F30" si="0">IF(OR(D3="",E3=""),"",IF(D3=E3,"是","否"))</f>
        <v>是</v>
      </c>
      <c r="G3" s="11">
        <f t="shared" ref="G3:G30" si="1">ROUND(COUNTIF($F$2:$F$30,"是")/30,2)</f>
        <v>0.83</v>
      </c>
      <c r="H3" s="10" t="str">
        <f>IFERROR(IF(VLOOKUP($A3,int_ai_sample!$A$2:$N$101,7,FALSE)=VLOOKUP($A3,人工標註!$A$2:$N$30,7,FALSE),"是","否"),"")</f>
        <v>是</v>
      </c>
      <c r="I3" s="10" t="str">
        <f>IFERROR(IF(VLOOKUP($A3,int_ai_sample!$A$2:$N$101,8,FALSE)=VLOOKUP($A3,人工標註!$A$2:$N$30,8,FALSE),"是","否"),"")</f>
        <v>是</v>
      </c>
      <c r="J3" s="10" t="str">
        <f>IFERROR(IF(VLOOKUP($A3,int_ai_sample!$A$2:$N$101,9,FALSE)=VLOOKUP($A3,人工標註!$A$2:$N$30,9,FALSE),"是","否"),"")</f>
        <v>是</v>
      </c>
      <c r="K3" s="10" t="str">
        <f>IFERROR(IF(VLOOKUP($A3,int_ai_sample!$A$2:$N$101,10,FALSE)=VLOOKUP($A3,人工標註!$A$2:$N$30,10,FALSE),"是","否"),"")</f>
        <v>否</v>
      </c>
      <c r="L3" s="10" t="str">
        <f>IFERROR(IF(VLOOKUP($A3,int_ai_sample!$A$2:$N$101,11,FALSE)=VLOOKUP($A3,人工標註!$A$2:$N$30,11,FALSE),"是","否"),"")</f>
        <v>是</v>
      </c>
      <c r="M3" s="10" t="str">
        <f>IFERROR(IF(VLOOKUP($A3,int_ai_sample!$A$2:$N$101,12,FALSE)=VLOOKUP($A3,人工標註!$A$2:$N$30,12,FALSE),"是","否"),"")</f>
        <v>是</v>
      </c>
      <c r="N3" s="10" t="str">
        <f>IFERROR(IF(VLOOKUP($A3,int_ai_sample!$A$2:$N$101,13,FALSE)=VLOOKUP($A3,人工標註!$A$2:$N$30,13,FALSE),"是","否"),"")</f>
        <v>是</v>
      </c>
      <c r="O3" s="10" t="str">
        <f>IFERROR(IF(VLOOKUP($A3,int_ai_sample!$A$2:$N$101,14,FALSE)=VLOOKUP($A3,人工標註!$A$2:$N$30,14,FALSE),"是","否"),"")</f>
        <v>是</v>
      </c>
      <c r="Q3" s="12" t="s">
        <v>371</v>
      </c>
      <c r="R3" s="14">
        <f>IFERROR(COUNTIF($F$2:$F$30,"是")/R2,0)</f>
        <v>0.86206896551724133</v>
      </c>
    </row>
    <row r="4" spans="1:25" ht="22" customHeight="1">
      <c r="A4" s="7" t="s">
        <v>22</v>
      </c>
      <c r="B4" s="7">
        <f>IFERROR(VLOOKUP($A4,int_ai_sample!$A$2:$N$101,3,FALSE),"")</f>
        <v>5</v>
      </c>
      <c r="C4" s="8" t="str">
        <f>IFERROR(VLOOKUP($A4,int_ai_sample!$A$2:$N$101,5,FALSE),"")</f>
        <v>很棒的商品。</v>
      </c>
      <c r="D4" s="7" t="str">
        <f>IFERROR(VLOOKUP($A4,int_ai_sample!$A$2:$N$101,6,FALSE),"")</f>
        <v>positive</v>
      </c>
      <c r="E4" s="7" t="str">
        <f>IFERROR(VLOOKUP($A4,人工標註!$A$2:$N$30,6,FALSE),"")</f>
        <v>positive</v>
      </c>
      <c r="F4" s="9" t="str">
        <f t="shared" si="0"/>
        <v>是</v>
      </c>
      <c r="G4" s="11">
        <f t="shared" si="1"/>
        <v>0.83</v>
      </c>
      <c r="H4" s="10" t="str">
        <f>IFERROR(IF(VLOOKUP($A4,int_ai_sample!$A$2:$N$101,7,FALSE)=VLOOKUP($A4,人工標註!$A$2:$N$30,7,FALSE),"是","否"),"")</f>
        <v>是</v>
      </c>
      <c r="I4" s="10" t="str">
        <f>IFERROR(IF(VLOOKUP($A4,int_ai_sample!$A$2:$N$101,8,FALSE)=VLOOKUP($A4,人工標註!$A$2:$N$30,8,FALSE),"是","否"),"")</f>
        <v>是</v>
      </c>
      <c r="J4" s="10" t="str">
        <f>IFERROR(IF(VLOOKUP($A4,int_ai_sample!$A$2:$N$101,9,FALSE)=VLOOKUP($A4,人工標註!$A$2:$N$30,9,FALSE),"是","否"),"")</f>
        <v>否</v>
      </c>
      <c r="K4" s="10" t="str">
        <f>IFERROR(IF(VLOOKUP($A4,int_ai_sample!$A$2:$N$101,10,FALSE)=VLOOKUP($A4,人工標註!$A$2:$N$30,10,FALSE),"是","否"),"")</f>
        <v>是</v>
      </c>
      <c r="L4" s="10" t="str">
        <f>IFERROR(IF(VLOOKUP($A4,int_ai_sample!$A$2:$N$101,11,FALSE)=VLOOKUP($A4,人工標註!$A$2:$N$30,11,FALSE),"是","否"),"")</f>
        <v>是</v>
      </c>
      <c r="M4" s="10" t="str">
        <f>IFERROR(IF(VLOOKUP($A4,int_ai_sample!$A$2:$N$101,12,FALSE)=VLOOKUP($A4,人工標註!$A$2:$N$30,12,FALSE),"是","否"),"")</f>
        <v>是</v>
      </c>
      <c r="N4" s="10" t="str">
        <f>IFERROR(IF(VLOOKUP($A4,int_ai_sample!$A$2:$N$101,13,FALSE)=VLOOKUP($A4,人工標註!$A$2:$N$30,13,FALSE),"是","否"),"")</f>
        <v>是</v>
      </c>
      <c r="O4" s="10" t="str">
        <f>IFERROR(IF(VLOOKUP($A4,int_ai_sample!$A$2:$N$101,14,FALSE)=VLOOKUP($A4,人工標註!$A$2:$N$30,14,FALSE),"是","否"),"")</f>
        <v>是</v>
      </c>
    </row>
    <row r="5" spans="1:25" ht="22" customHeight="1">
      <c r="A5" s="7" t="s">
        <v>25</v>
      </c>
      <c r="B5" s="7">
        <f>IFERROR(VLOOKUP($A5,int_ai_sample!$A$2:$N$101,3,FALSE),"")</f>
        <v>1</v>
      </c>
      <c r="C5" s="8" t="str">
        <f>IFERROR(VLOOKUP($A5,int_ai_sample!$A$2:$N$101,5,FALSE),"")</f>
        <v>商品品質很差，做工和表面處理也很粗糙。</v>
      </c>
      <c r="D5" s="7" t="str">
        <f>IFERROR(VLOOKUP($A5,int_ai_sample!$A$2:$N$101,6,FALSE),"")</f>
        <v>negative</v>
      </c>
      <c r="E5" s="7" t="str">
        <f>IFERROR(VLOOKUP($A5,人工標註!$A$2:$N$30,6,FALSE),"")</f>
        <v>negative</v>
      </c>
      <c r="F5" s="9" t="str">
        <f t="shared" si="0"/>
        <v>是</v>
      </c>
      <c r="G5" s="11">
        <f t="shared" si="1"/>
        <v>0.83</v>
      </c>
      <c r="H5" s="10" t="str">
        <f>IFERROR(IF(VLOOKUP($A5,int_ai_sample!$A$2:$N$101,7,FALSE)=VLOOKUP($A5,人工標註!$A$2:$N$30,7,FALSE),"是","否"),"")</f>
        <v>是</v>
      </c>
      <c r="I5" s="10" t="str">
        <f>IFERROR(IF(VLOOKUP($A5,int_ai_sample!$A$2:$N$101,8,FALSE)=VLOOKUP($A5,人工標註!$A$2:$N$30,8,FALSE),"是","否"),"")</f>
        <v>是</v>
      </c>
      <c r="J5" s="10" t="str">
        <f>IFERROR(IF(VLOOKUP($A5,int_ai_sample!$A$2:$N$101,9,FALSE)=VLOOKUP($A5,人工標註!$A$2:$N$30,9,FALSE),"是","否"),"")</f>
        <v>是</v>
      </c>
      <c r="K5" s="10" t="str">
        <f>IFERROR(IF(VLOOKUP($A5,int_ai_sample!$A$2:$N$101,10,FALSE)=VLOOKUP($A5,人工標註!$A$2:$N$30,10,FALSE),"是","否"),"")</f>
        <v>是</v>
      </c>
      <c r="L5" s="10" t="str">
        <f>IFERROR(IF(VLOOKUP($A5,int_ai_sample!$A$2:$N$101,11,FALSE)=VLOOKUP($A5,人工標註!$A$2:$N$30,11,FALSE),"是","否"),"")</f>
        <v>是</v>
      </c>
      <c r="M5" s="10" t="str">
        <f>IFERROR(IF(VLOOKUP($A5,int_ai_sample!$A$2:$N$101,12,FALSE)=VLOOKUP($A5,人工標註!$A$2:$N$30,12,FALSE),"是","否"),"")</f>
        <v>是</v>
      </c>
      <c r="N5" s="10" t="str">
        <f>IFERROR(IF(VLOOKUP($A5,int_ai_sample!$A$2:$N$101,13,FALSE)=VLOOKUP($A5,人工標註!$A$2:$N$30,13,FALSE),"是","否"),"")</f>
        <v>是</v>
      </c>
      <c r="O5" s="10" t="str">
        <f>IFERROR(IF(VLOOKUP($A5,int_ai_sample!$A$2:$N$101,14,FALSE)=VLOOKUP($A5,人工標註!$A$2:$N$30,14,FALSE),"是","否"),"")</f>
        <v>是</v>
      </c>
      <c r="Q5" s="15" t="s">
        <v>382</v>
      </c>
      <c r="R5" s="15" t="s">
        <v>383</v>
      </c>
      <c r="S5" s="15" t="s">
        <v>384</v>
      </c>
      <c r="T5" s="15" t="s">
        <v>385</v>
      </c>
      <c r="U5" s="15" t="s">
        <v>386</v>
      </c>
      <c r="V5" s="15" t="s">
        <v>387</v>
      </c>
      <c r="W5" s="15" t="s">
        <v>388</v>
      </c>
      <c r="X5" s="15" t="s">
        <v>389</v>
      </c>
      <c r="Y5" s="15" t="s">
        <v>390</v>
      </c>
    </row>
    <row r="6" spans="1:25" ht="22" customHeight="1">
      <c r="A6" s="7" t="s">
        <v>30</v>
      </c>
      <c r="B6" s="7">
        <f>IFERROR(VLOOKUP($A6,int_ai_sample!$A$2:$N$101,3,FALSE),"")</f>
        <v>3</v>
      </c>
      <c r="C6" s="8" t="str">
        <f>IFERROR(VLOOKUP($A6,int_ai_sample!$A$2:$N$101,5,FALSE),"")</f>
        <v>在指定期限內收到。</v>
      </c>
      <c r="D6" s="7" t="str">
        <f>IFERROR(VLOOKUP($A6,int_ai_sample!$A$2:$N$101,6,FALSE),"")</f>
        <v>positive</v>
      </c>
      <c r="E6" s="7" t="str">
        <f>IFERROR(VLOOKUP($A6,人工標註!$A$2:$N$30,6,FALSE),"")</f>
        <v>positive</v>
      </c>
      <c r="F6" s="9" t="str">
        <f t="shared" si="0"/>
        <v>是</v>
      </c>
      <c r="G6" s="11">
        <f t="shared" si="1"/>
        <v>0.83</v>
      </c>
      <c r="H6" s="10" t="str">
        <f>IFERROR(IF(VLOOKUP($A6,int_ai_sample!$A$2:$N$101,7,FALSE)=VLOOKUP($A6,人工標註!$A$2:$N$30,7,FALSE),"是","否"),"")</f>
        <v>是</v>
      </c>
      <c r="I6" s="10" t="str">
        <f>IFERROR(IF(VLOOKUP($A6,int_ai_sample!$A$2:$N$101,8,FALSE)=VLOOKUP($A6,人工標註!$A$2:$N$30,8,FALSE),"是","否"),"")</f>
        <v>是</v>
      </c>
      <c r="J6" s="10" t="str">
        <f>IFERROR(IF(VLOOKUP($A6,int_ai_sample!$A$2:$N$101,9,FALSE)=VLOOKUP($A6,人工標註!$A$2:$N$30,9,FALSE),"是","否"),"")</f>
        <v>是</v>
      </c>
      <c r="K6" s="10" t="str">
        <f>IFERROR(IF(VLOOKUP($A6,int_ai_sample!$A$2:$N$101,10,FALSE)=VLOOKUP($A6,人工標註!$A$2:$N$30,10,FALSE),"是","否"),"")</f>
        <v>是</v>
      </c>
      <c r="L6" s="10" t="str">
        <f>IFERROR(IF(VLOOKUP($A6,int_ai_sample!$A$2:$N$101,11,FALSE)=VLOOKUP($A6,人工標註!$A$2:$N$30,11,FALSE),"是","否"),"")</f>
        <v>是</v>
      </c>
      <c r="M6" s="10" t="str">
        <f>IFERROR(IF(VLOOKUP($A6,int_ai_sample!$A$2:$N$101,12,FALSE)=VLOOKUP($A6,人工標註!$A$2:$N$30,12,FALSE),"是","否"),"")</f>
        <v>是</v>
      </c>
      <c r="N6" s="10" t="str">
        <f>IFERROR(IF(VLOOKUP($A6,int_ai_sample!$A$2:$N$101,13,FALSE)=VLOOKUP($A6,人工標註!$A$2:$N$30,13,FALSE),"是","否"),"")</f>
        <v>是</v>
      </c>
      <c r="O6" s="10" t="str">
        <f>IFERROR(IF(VLOOKUP($A6,int_ai_sample!$A$2:$N$101,14,FALSE)=VLOOKUP($A6,人工標註!$A$2:$N$30,14,FALSE),"是","否"),"")</f>
        <v>是</v>
      </c>
      <c r="Q6" s="16" t="s">
        <v>391</v>
      </c>
      <c r="R6" s="17">
        <f>COUNTIFS(int_ai_sample!$G$2:$G$30,1,人工標註!$G$2:$G$30,1)</f>
        <v>17</v>
      </c>
      <c r="S6" s="17">
        <f>COUNTIFS(int_ai_sample!$G$2:$G$30,1,人工標註!$G$2:$G$30,0)</f>
        <v>1</v>
      </c>
      <c r="T6" s="17">
        <f>COUNTIFS(int_ai_sample!$G$2:$G$30,0,人工標註!$G$2:$G$30,1)</f>
        <v>0</v>
      </c>
      <c r="U6" s="17">
        <f>COUNTIFS(int_ai_sample!$G$2:$G$30,0,人工標註!$G$2:$G$30,0)</f>
        <v>11</v>
      </c>
      <c r="V6" s="18">
        <f t="shared" ref="V6:V13" si="2">IFERROR(R6/(R6+S6),0)</f>
        <v>0.94444444444444442</v>
      </c>
      <c r="W6" s="18">
        <f t="shared" ref="W6:W13" si="3">IFERROR(R6/(R6+T6),0)</f>
        <v>1</v>
      </c>
      <c r="X6" s="18">
        <f t="shared" ref="X6:X13" si="4">IFERROR(2*V6*W6/(V6+W6),0)</f>
        <v>0.97142857142857142</v>
      </c>
      <c r="Y6" s="19">
        <f t="shared" ref="Y6:Y13" si="5">R6+T6</f>
        <v>17</v>
      </c>
    </row>
    <row r="7" spans="1:25" ht="22" customHeight="1">
      <c r="A7" s="7" t="s">
        <v>34</v>
      </c>
      <c r="B7" s="7">
        <f>IFERROR(VLOOKUP($A7,int_ai_sample!$A$2:$N$101,3,FALSE),"")</f>
        <v>1</v>
      </c>
      <c r="C7" s="8" t="str">
        <f>IFERROR(VLOOKUP($A7,int_ai_sample!$A$2:$N$101,5,FALSE),"")</f>
        <v>我沒有收到商品。</v>
      </c>
      <c r="D7" s="7" t="str">
        <f>IFERROR(VLOOKUP($A7,int_ai_sample!$A$2:$N$101,6,FALSE),"")</f>
        <v>negative</v>
      </c>
      <c r="E7" s="7" t="str">
        <f>IFERROR(VLOOKUP($A7,人工標註!$A$2:$N$30,6,FALSE),"")</f>
        <v>negative</v>
      </c>
      <c r="F7" s="9" t="str">
        <f t="shared" si="0"/>
        <v>是</v>
      </c>
      <c r="G7" s="11">
        <f t="shared" si="1"/>
        <v>0.83</v>
      </c>
      <c r="H7" s="10" t="str">
        <f>IFERROR(IF(VLOOKUP($A7,int_ai_sample!$A$2:$N$101,7,FALSE)=VLOOKUP($A7,人工標註!$A$2:$N$30,7,FALSE),"是","否"),"")</f>
        <v>是</v>
      </c>
      <c r="I7" s="10" t="str">
        <f>IFERROR(IF(VLOOKUP($A7,int_ai_sample!$A$2:$N$101,8,FALSE)=VLOOKUP($A7,人工標註!$A$2:$N$30,8,FALSE),"是","否"),"")</f>
        <v>是</v>
      </c>
      <c r="J7" s="10" t="str">
        <f>IFERROR(IF(VLOOKUP($A7,int_ai_sample!$A$2:$N$101,9,FALSE)=VLOOKUP($A7,人工標註!$A$2:$N$30,9,FALSE),"是","否"),"")</f>
        <v>是</v>
      </c>
      <c r="K7" s="10" t="str">
        <f>IFERROR(IF(VLOOKUP($A7,int_ai_sample!$A$2:$N$101,10,FALSE)=VLOOKUP($A7,人工標註!$A$2:$N$30,10,FALSE),"是","否"),"")</f>
        <v>是</v>
      </c>
      <c r="L7" s="10" t="str">
        <f>IFERROR(IF(VLOOKUP($A7,int_ai_sample!$A$2:$N$101,11,FALSE)=VLOOKUP($A7,人工標註!$A$2:$N$30,11,FALSE),"是","否"),"")</f>
        <v>是</v>
      </c>
      <c r="M7" s="10" t="str">
        <f>IFERROR(IF(VLOOKUP($A7,int_ai_sample!$A$2:$N$101,12,FALSE)=VLOOKUP($A7,人工標註!$A$2:$N$30,12,FALSE),"是","否"),"")</f>
        <v>是</v>
      </c>
      <c r="N7" s="10" t="str">
        <f>IFERROR(IF(VLOOKUP($A7,int_ai_sample!$A$2:$N$101,13,FALSE)=VLOOKUP($A7,人工標註!$A$2:$N$30,13,FALSE),"是","否"),"")</f>
        <v>是</v>
      </c>
      <c r="O7" s="10" t="str">
        <f>IFERROR(IF(VLOOKUP($A7,int_ai_sample!$A$2:$N$101,14,FALSE)=VLOOKUP($A7,人工標註!$A$2:$N$30,14,FALSE),"是","否"),"")</f>
        <v>是</v>
      </c>
      <c r="Q7" s="20" t="s">
        <v>392</v>
      </c>
      <c r="R7" s="21">
        <f>COUNTIFS(int_ai_sample!$H$2:$H$30,1,人工標註!$H$2:$H$30,1)</f>
        <v>1</v>
      </c>
      <c r="S7" s="21">
        <f>COUNTIFS(int_ai_sample!$H$2:$H$30,1,人工標註!$H$2:$H$30,0)</f>
        <v>0</v>
      </c>
      <c r="T7" s="21">
        <f>COUNTIFS(int_ai_sample!$H$2:$H$30,0,人工標註!$H$2:$H$30,1)</f>
        <v>3</v>
      </c>
      <c r="U7" s="21">
        <f>COUNTIFS(int_ai_sample!$H$2:$H$30,0,人工標註!$H$2:$H$30,0)</f>
        <v>25</v>
      </c>
      <c r="V7" s="22">
        <f t="shared" si="2"/>
        <v>1</v>
      </c>
      <c r="W7" s="22">
        <f t="shared" si="3"/>
        <v>0.25</v>
      </c>
      <c r="X7" s="22">
        <f t="shared" si="4"/>
        <v>0.4</v>
      </c>
      <c r="Y7" s="23">
        <f t="shared" si="5"/>
        <v>4</v>
      </c>
    </row>
    <row r="8" spans="1:25" ht="22" customHeight="1">
      <c r="A8" s="7" t="s">
        <v>37</v>
      </c>
      <c r="B8" s="7">
        <f>IFERROR(VLOOKUP($A8,int_ai_sample!$A$2:$N$101,3,FALSE),"")</f>
        <v>4</v>
      </c>
      <c r="C8" s="8" t="str">
        <f>IFERROR(VLOOKUP($A8,int_ai_sample!$A$2:$N$101,5,FALSE),"")</f>
        <v>很棒，交貨時間很快。</v>
      </c>
      <c r="D8" s="7" t="str">
        <f>IFERROR(VLOOKUP($A8,int_ai_sample!$A$2:$N$101,6,FALSE),"")</f>
        <v>positive</v>
      </c>
      <c r="E8" s="7" t="str">
        <f>IFERROR(VLOOKUP($A8,人工標註!$A$2:$N$30,6,FALSE),"")</f>
        <v>positive</v>
      </c>
      <c r="F8" s="9" t="str">
        <f t="shared" si="0"/>
        <v>是</v>
      </c>
      <c r="G8" s="11">
        <f t="shared" si="1"/>
        <v>0.83</v>
      </c>
      <c r="H8" s="10" t="str">
        <f>IFERROR(IF(VLOOKUP($A8,int_ai_sample!$A$2:$N$101,7,FALSE)=VLOOKUP($A8,人工標註!$A$2:$N$30,7,FALSE),"是","否"),"")</f>
        <v>是</v>
      </c>
      <c r="I8" s="10" t="str">
        <f>IFERROR(IF(VLOOKUP($A8,int_ai_sample!$A$2:$N$101,8,FALSE)=VLOOKUP($A8,人工標註!$A$2:$N$30,8,FALSE),"是","否"),"")</f>
        <v>是</v>
      </c>
      <c r="J8" s="10" t="str">
        <f>IFERROR(IF(VLOOKUP($A8,int_ai_sample!$A$2:$N$101,9,FALSE)=VLOOKUP($A8,人工標註!$A$2:$N$30,9,FALSE),"是","否"),"")</f>
        <v>是</v>
      </c>
      <c r="K8" s="10" t="str">
        <f>IFERROR(IF(VLOOKUP($A8,int_ai_sample!$A$2:$N$101,10,FALSE)=VLOOKUP($A8,人工標註!$A$2:$N$30,10,FALSE),"是","否"),"")</f>
        <v>是</v>
      </c>
      <c r="L8" s="10" t="str">
        <f>IFERROR(IF(VLOOKUP($A8,int_ai_sample!$A$2:$N$101,11,FALSE)=VLOOKUP($A8,人工標註!$A$2:$N$30,11,FALSE),"是","否"),"")</f>
        <v>是</v>
      </c>
      <c r="M8" s="10" t="str">
        <f>IFERROR(IF(VLOOKUP($A8,int_ai_sample!$A$2:$N$101,12,FALSE)=VLOOKUP($A8,人工標註!$A$2:$N$30,12,FALSE),"是","否"),"")</f>
        <v>是</v>
      </c>
      <c r="N8" s="10" t="str">
        <f>IFERROR(IF(VLOOKUP($A8,int_ai_sample!$A$2:$N$101,13,FALSE)=VLOOKUP($A8,人工標註!$A$2:$N$30,13,FALSE),"是","否"),"")</f>
        <v>是</v>
      </c>
      <c r="O8" s="10" t="str">
        <f>IFERROR(IF(VLOOKUP($A8,int_ai_sample!$A$2:$N$101,14,FALSE)=VLOOKUP($A8,人工標註!$A$2:$N$30,14,FALSE),"是","否"),"")</f>
        <v>是</v>
      </c>
      <c r="Q8" s="20" t="s">
        <v>393</v>
      </c>
      <c r="R8" s="21">
        <f>COUNTIFS(int_ai_sample!$I$2:$I$30,1,人工標註!$I$2:$I$30,1)</f>
        <v>4</v>
      </c>
      <c r="S8" s="21">
        <f>COUNTIFS(int_ai_sample!$I$2:$I$30,1,人工標註!$I$2:$I$30,0)</f>
        <v>3</v>
      </c>
      <c r="T8" s="21">
        <f>COUNTIFS(int_ai_sample!$I$2:$I$30,0,人工標註!$I$2:$I$30,1)</f>
        <v>2</v>
      </c>
      <c r="U8" s="21">
        <f>COUNTIFS(int_ai_sample!$I$2:$I$30,0,人工標註!$I$2:$I$30,0)</f>
        <v>20</v>
      </c>
      <c r="V8" s="22">
        <f t="shared" si="2"/>
        <v>0.5714285714285714</v>
      </c>
      <c r="W8" s="22">
        <f t="shared" si="3"/>
        <v>0.66666666666666663</v>
      </c>
      <c r="X8" s="22">
        <f t="shared" si="4"/>
        <v>0.61538461538461531</v>
      </c>
      <c r="Y8" s="23">
        <f t="shared" si="5"/>
        <v>6</v>
      </c>
    </row>
    <row r="9" spans="1:25" ht="22" customHeight="1">
      <c r="A9" s="7" t="s">
        <v>41</v>
      </c>
      <c r="B9" s="7">
        <f>IFERROR(VLOOKUP($A9,int_ai_sample!$A$2:$N$101,3,FALSE),"")</f>
        <v>4</v>
      </c>
      <c r="C9" s="8" t="str">
        <f>IFERROR(VLOOKUP($A9,int_ai_sample!$A$2:$N$101,5,FALSE),"")</f>
        <v>商品送達正確而且很快。已經測試過並通過驗收。建議加強塑膠結構，特別是曲柄塔，讓動作更穩固。謝謝。</v>
      </c>
      <c r="D9" s="7" t="str">
        <f>IFERROR(VLOOKUP($A9,int_ai_sample!$A$2:$N$101,6,FALSE),"")</f>
        <v>positive</v>
      </c>
      <c r="E9" s="7" t="str">
        <f>IFERROR(VLOOKUP($A9,人工標註!$A$2:$N$30,6,FALSE),"")</f>
        <v>mixed</v>
      </c>
      <c r="F9" s="9" t="str">
        <f t="shared" si="0"/>
        <v>否</v>
      </c>
      <c r="G9" s="11">
        <f t="shared" si="1"/>
        <v>0.83</v>
      </c>
      <c r="H9" s="10" t="str">
        <f>IFERROR(IF(VLOOKUP($A9,int_ai_sample!$A$2:$N$101,7,FALSE)=VLOOKUP($A9,人工標註!$A$2:$N$30,7,FALSE),"是","否"),"")</f>
        <v>是</v>
      </c>
      <c r="I9" s="10" t="str">
        <f>IFERROR(IF(VLOOKUP($A9,int_ai_sample!$A$2:$N$101,8,FALSE)=VLOOKUP($A9,人工標註!$A$2:$N$30,8,FALSE),"是","否"),"")</f>
        <v>是</v>
      </c>
      <c r="J9" s="10" t="str">
        <f>IFERROR(IF(VLOOKUP($A9,int_ai_sample!$A$2:$N$101,9,FALSE)=VLOOKUP($A9,人工標註!$A$2:$N$30,9,FALSE),"是","否"),"")</f>
        <v>是</v>
      </c>
      <c r="K9" s="10" t="str">
        <f>IFERROR(IF(VLOOKUP($A9,int_ai_sample!$A$2:$N$101,10,FALSE)=VLOOKUP($A9,人工標註!$A$2:$N$30,10,FALSE),"是","否"),"")</f>
        <v>是</v>
      </c>
      <c r="L9" s="10" t="str">
        <f>IFERROR(IF(VLOOKUP($A9,int_ai_sample!$A$2:$N$101,11,FALSE)=VLOOKUP($A9,人工標註!$A$2:$N$30,11,FALSE),"是","否"),"")</f>
        <v>是</v>
      </c>
      <c r="M9" s="10" t="str">
        <f>IFERROR(IF(VLOOKUP($A9,int_ai_sample!$A$2:$N$101,12,FALSE)=VLOOKUP($A9,人工標註!$A$2:$N$30,12,FALSE),"是","否"),"")</f>
        <v>是</v>
      </c>
      <c r="N9" s="10" t="str">
        <f>IFERROR(IF(VLOOKUP($A9,int_ai_sample!$A$2:$N$101,13,FALSE)=VLOOKUP($A9,人工標註!$A$2:$N$30,13,FALSE),"是","否"),"")</f>
        <v>是</v>
      </c>
      <c r="O9" s="10" t="str">
        <f>IFERROR(IF(VLOOKUP($A9,int_ai_sample!$A$2:$N$101,14,FALSE)=VLOOKUP($A9,人工標註!$A$2:$N$30,14,FALSE),"是","否"),"")</f>
        <v>是</v>
      </c>
      <c r="Q9" s="20" t="s">
        <v>394</v>
      </c>
      <c r="R9" s="21">
        <f>COUNTIFS(int_ai_sample!$J$2:$J$30,1,人工標註!$J$2:$J$30,1)</f>
        <v>2</v>
      </c>
      <c r="S9" s="21">
        <f>COUNTIFS(int_ai_sample!$J$2:$J$30,1,人工標註!$J$2:$J$30,0)</f>
        <v>1</v>
      </c>
      <c r="T9" s="21">
        <f>COUNTIFS(int_ai_sample!$J$2:$J$30,0,人工標註!$J$2:$J$30,1)</f>
        <v>1</v>
      </c>
      <c r="U9" s="21">
        <f>COUNTIFS(int_ai_sample!$J$2:$J$30,0,人工標註!$J$2:$J$30,0)</f>
        <v>25</v>
      </c>
      <c r="V9" s="22">
        <f t="shared" si="2"/>
        <v>0.66666666666666663</v>
      </c>
      <c r="W9" s="22">
        <f t="shared" si="3"/>
        <v>0.66666666666666663</v>
      </c>
      <c r="X9" s="22">
        <f t="shared" si="4"/>
        <v>0.66666666666666663</v>
      </c>
      <c r="Y9" s="23">
        <f t="shared" si="5"/>
        <v>3</v>
      </c>
    </row>
    <row r="10" spans="1:25" ht="22" customHeight="1">
      <c r="A10" s="7" t="s">
        <v>44</v>
      </c>
      <c r="B10" s="7">
        <f>IFERROR(VLOOKUP($A10,int_ai_sample!$A$2:$N$101,3,FALSE),"")</f>
        <v>3</v>
      </c>
      <c r="C10" s="8" t="str">
        <f>IFERROR(VLOOKUP($A10,int_ai_sample!$A$2:$N$101,5,FALSE),"")</f>
        <v>商品看起來像二手，logo 的漆都磨掉了，還有一些刮痕。不要想省 5 塊錢而買這家店的東西。</v>
      </c>
      <c r="D10" s="7" t="str">
        <f>IFERROR(VLOOKUP($A10,int_ai_sample!$A$2:$N$101,6,FALSE),"")</f>
        <v>negative</v>
      </c>
      <c r="E10" s="7" t="str">
        <f>IFERROR(VLOOKUP($A10,人工標註!$A$2:$N$30,6,FALSE),"")</f>
        <v>negative</v>
      </c>
      <c r="F10" s="9" t="str">
        <f t="shared" si="0"/>
        <v>是</v>
      </c>
      <c r="G10" s="11">
        <f t="shared" si="1"/>
        <v>0.83</v>
      </c>
      <c r="H10" s="10" t="str">
        <f>IFERROR(IF(VLOOKUP($A10,int_ai_sample!$A$2:$N$101,7,FALSE)=VLOOKUP($A10,人工標註!$A$2:$N$30,7,FALSE),"是","否"),"")</f>
        <v>是</v>
      </c>
      <c r="I10" s="10" t="str">
        <f>IFERROR(IF(VLOOKUP($A10,int_ai_sample!$A$2:$N$101,8,FALSE)=VLOOKUP($A10,人工標註!$A$2:$N$30,8,FALSE),"是","否"),"")</f>
        <v>是</v>
      </c>
      <c r="J10" s="10" t="str">
        <f>IFERROR(IF(VLOOKUP($A10,int_ai_sample!$A$2:$N$101,9,FALSE)=VLOOKUP($A10,人工標註!$A$2:$N$30,9,FALSE),"是","否"),"")</f>
        <v>是</v>
      </c>
      <c r="K10" s="10" t="str">
        <f>IFERROR(IF(VLOOKUP($A10,int_ai_sample!$A$2:$N$101,10,FALSE)=VLOOKUP($A10,人工標註!$A$2:$N$30,10,FALSE),"是","否"),"")</f>
        <v>是</v>
      </c>
      <c r="L10" s="10" t="str">
        <f>IFERROR(IF(VLOOKUP($A10,int_ai_sample!$A$2:$N$101,11,FALSE)=VLOOKUP($A10,人工標註!$A$2:$N$30,11,FALSE),"是","否"),"")</f>
        <v>是</v>
      </c>
      <c r="M10" s="10" t="str">
        <f>IFERROR(IF(VLOOKUP($A10,int_ai_sample!$A$2:$N$101,12,FALSE)=VLOOKUP($A10,人工標註!$A$2:$N$30,12,FALSE),"是","否"),"")</f>
        <v>是</v>
      </c>
      <c r="N10" s="10" t="str">
        <f>IFERROR(IF(VLOOKUP($A10,int_ai_sample!$A$2:$N$101,13,FALSE)=VLOOKUP($A10,人工標註!$A$2:$N$30,13,FALSE),"是","否"),"")</f>
        <v>是</v>
      </c>
      <c r="O10" s="10" t="str">
        <f>IFERROR(IF(VLOOKUP($A10,int_ai_sample!$A$2:$N$101,14,FALSE)=VLOOKUP($A10,人工標註!$A$2:$N$30,14,FALSE),"是","否"),"")</f>
        <v>是</v>
      </c>
      <c r="Q10" s="20" t="s">
        <v>395</v>
      </c>
      <c r="R10" s="21">
        <f>COUNTIFS(int_ai_sample!$K$2:$K$30,1,人工標註!$K$2:$K$30,1)</f>
        <v>0</v>
      </c>
      <c r="S10" s="21">
        <f>COUNTIFS(int_ai_sample!$K$2:$K$30,1,人工標註!$K$2:$K$30,0)</f>
        <v>0</v>
      </c>
      <c r="T10" s="21">
        <f>COUNTIFS(int_ai_sample!$K$2:$K$30,0,人工標註!$K$2:$K$30,1)</f>
        <v>0</v>
      </c>
      <c r="U10" s="21">
        <f>COUNTIFS(int_ai_sample!$K$2:$K$30,0,人工標註!$K$2:$K$30,0)</f>
        <v>29</v>
      </c>
      <c r="V10" s="22">
        <f t="shared" si="2"/>
        <v>0</v>
      </c>
      <c r="W10" s="22">
        <f t="shared" si="3"/>
        <v>0</v>
      </c>
      <c r="X10" s="22">
        <f t="shared" si="4"/>
        <v>0</v>
      </c>
      <c r="Y10" s="23">
        <f t="shared" si="5"/>
        <v>0</v>
      </c>
    </row>
    <row r="11" spans="1:25" ht="22" customHeight="1">
      <c r="A11" s="7" t="s">
        <v>47</v>
      </c>
      <c r="B11" s="7">
        <f>IFERROR(VLOOKUP($A11,int_ai_sample!$A$2:$N$101,3,FALSE),"")</f>
        <v>5</v>
      </c>
      <c r="C11" s="8" t="str">
        <f>IFERROR(VLOOKUP($A11,int_ai_sample!$A$2:$N$101,5,FALSE),"")</f>
        <v>下午好……我有收到商品，但保溫便當包的提把出問題了，線縫脫開了。我該怎麼換？</v>
      </c>
      <c r="D11" s="7" t="str">
        <f>IFERROR(VLOOKUP($A11,int_ai_sample!$A$2:$N$101,6,FALSE),"")</f>
        <v>negative</v>
      </c>
      <c r="E11" s="7" t="str">
        <f>IFERROR(VLOOKUP($A11,人工標註!$A$2:$N$30,6,FALSE),"")</f>
        <v>negative</v>
      </c>
      <c r="F11" s="9" t="str">
        <f t="shared" si="0"/>
        <v>是</v>
      </c>
      <c r="G11" s="11">
        <f t="shared" si="1"/>
        <v>0.83</v>
      </c>
      <c r="H11" s="10" t="str">
        <f>IFERROR(IF(VLOOKUP($A11,int_ai_sample!$A$2:$N$101,7,FALSE)=VLOOKUP($A11,人工標註!$A$2:$N$30,7,FALSE),"是","否"),"")</f>
        <v>是</v>
      </c>
      <c r="I11" s="10" t="str">
        <f>IFERROR(IF(VLOOKUP($A11,int_ai_sample!$A$2:$N$101,8,FALSE)=VLOOKUP($A11,人工標註!$A$2:$N$30,8,FALSE),"是","否"),"")</f>
        <v>是</v>
      </c>
      <c r="J11" s="10" t="str">
        <f>IFERROR(IF(VLOOKUP($A11,int_ai_sample!$A$2:$N$101,9,FALSE)=VLOOKUP($A11,人工標註!$A$2:$N$30,9,FALSE),"是","否"),"")</f>
        <v>是</v>
      </c>
      <c r="K11" s="10" t="str">
        <f>IFERROR(IF(VLOOKUP($A11,int_ai_sample!$A$2:$N$101,10,FALSE)=VLOOKUP($A11,人工標註!$A$2:$N$30,10,FALSE),"是","否"),"")</f>
        <v>是</v>
      </c>
      <c r="L11" s="10" t="str">
        <f>IFERROR(IF(VLOOKUP($A11,int_ai_sample!$A$2:$N$101,11,FALSE)=VLOOKUP($A11,人工標註!$A$2:$N$30,11,FALSE),"是","否"),"")</f>
        <v>是</v>
      </c>
      <c r="M11" s="10" t="str">
        <f>IFERROR(IF(VLOOKUP($A11,int_ai_sample!$A$2:$N$101,12,FALSE)=VLOOKUP($A11,人工標註!$A$2:$N$30,12,FALSE),"是","否"),"")</f>
        <v>否</v>
      </c>
      <c r="N11" s="10" t="str">
        <f>IFERROR(IF(VLOOKUP($A11,int_ai_sample!$A$2:$N$101,13,FALSE)=VLOOKUP($A11,人工標註!$A$2:$N$30,13,FALSE),"是","否"),"")</f>
        <v>是</v>
      </c>
      <c r="O11" s="10" t="str">
        <f>IFERROR(IF(VLOOKUP($A11,int_ai_sample!$A$2:$N$101,14,FALSE)=VLOOKUP($A11,人工標註!$A$2:$N$30,14,FALSE),"是","否"),"")</f>
        <v>是</v>
      </c>
      <c r="Q11" s="20" t="s">
        <v>396</v>
      </c>
      <c r="R11" s="21">
        <f>COUNTIFS(int_ai_sample!$L$2:$L$30,1,人工標註!$L$2:$L$30,1)</f>
        <v>1</v>
      </c>
      <c r="S11" s="21">
        <f>COUNTIFS(int_ai_sample!$L$2:$L$30,1,人工標註!$L$2:$L$30,0)</f>
        <v>3</v>
      </c>
      <c r="T11" s="21">
        <f>COUNTIFS(int_ai_sample!$L$2:$L$30,0,人工標註!$L$2:$L$30,1)</f>
        <v>0</v>
      </c>
      <c r="U11" s="21">
        <f>COUNTIFS(int_ai_sample!$L$2:$L$30,0,人工標註!$L$2:$L$30,0)</f>
        <v>25</v>
      </c>
      <c r="V11" s="22">
        <f t="shared" si="2"/>
        <v>0.25</v>
      </c>
      <c r="W11" s="22">
        <f t="shared" si="3"/>
        <v>1</v>
      </c>
      <c r="X11" s="22">
        <f t="shared" si="4"/>
        <v>0.4</v>
      </c>
      <c r="Y11" s="23">
        <f t="shared" si="5"/>
        <v>1</v>
      </c>
    </row>
    <row r="12" spans="1:25" ht="22" customHeight="1">
      <c r="A12" s="7" t="s">
        <v>50</v>
      </c>
      <c r="B12" s="7">
        <f>IFERROR(VLOOKUP($A12,int_ai_sample!$A$2:$N$101,3,FALSE),"")</f>
        <v>4</v>
      </c>
      <c r="C12" s="8" t="str">
        <f>IFERROR(VLOOKUP($A12,int_ai_sample!$A$2:$N$101,5,FALSE),"")</f>
        <v>比預期更早到貨，運費比 lannister 的更貴。看起來非常不錯，前幾次踩踏的感覺很好。但沒有附說明手冊，不過組裝很容易也很直覺。</v>
      </c>
      <c r="D12" s="7" t="str">
        <f>IFERROR(VLOOKUP($A12,int_ai_sample!$A$2:$N$101,6,FALSE),"")</f>
        <v>mixed</v>
      </c>
      <c r="E12" s="7" t="str">
        <f>IFERROR(VLOOKUP($A12,人工標註!$A$2:$N$30,6,FALSE),"")</f>
        <v>mixed</v>
      </c>
      <c r="F12" s="9" t="str">
        <f t="shared" si="0"/>
        <v>是</v>
      </c>
      <c r="G12" s="11">
        <f t="shared" si="1"/>
        <v>0.83</v>
      </c>
      <c r="H12" s="10" t="str">
        <f>IFERROR(IF(VLOOKUP($A12,int_ai_sample!$A$2:$N$101,7,FALSE)=VLOOKUP($A12,人工標註!$A$2:$N$30,7,FALSE),"是","否"),"")</f>
        <v>是</v>
      </c>
      <c r="I12" s="10" t="str">
        <f>IFERROR(IF(VLOOKUP($A12,int_ai_sample!$A$2:$N$101,8,FALSE)=VLOOKUP($A12,人工標註!$A$2:$N$30,8,FALSE),"是","否"),"")</f>
        <v>是</v>
      </c>
      <c r="J12" s="10" t="str">
        <f>IFERROR(IF(VLOOKUP($A12,int_ai_sample!$A$2:$N$101,9,FALSE)=VLOOKUP($A12,人工標註!$A$2:$N$30,9,FALSE),"是","否"),"")</f>
        <v>否</v>
      </c>
      <c r="K12" s="10" t="str">
        <f>IFERROR(IF(VLOOKUP($A12,int_ai_sample!$A$2:$N$101,10,FALSE)=VLOOKUP($A12,人工標註!$A$2:$N$30,10,FALSE),"是","否"),"")</f>
        <v>是</v>
      </c>
      <c r="L12" s="10" t="str">
        <f>IFERROR(IF(VLOOKUP($A12,int_ai_sample!$A$2:$N$101,11,FALSE)=VLOOKUP($A12,人工標註!$A$2:$N$30,11,FALSE),"是","否"),"")</f>
        <v>是</v>
      </c>
      <c r="M12" s="10" t="str">
        <f>IFERROR(IF(VLOOKUP($A12,int_ai_sample!$A$2:$N$101,12,FALSE)=VLOOKUP($A12,人工標註!$A$2:$N$30,12,FALSE),"是","否"),"")</f>
        <v>是</v>
      </c>
      <c r="N12" s="10" t="str">
        <f>IFERROR(IF(VLOOKUP($A12,int_ai_sample!$A$2:$N$101,13,FALSE)=VLOOKUP($A12,人工標註!$A$2:$N$30,13,FALSE),"是","否"),"")</f>
        <v>是</v>
      </c>
      <c r="O12" s="10" t="str">
        <f>IFERROR(IF(VLOOKUP($A12,int_ai_sample!$A$2:$N$101,14,FALSE)=VLOOKUP($A12,人工標註!$A$2:$N$30,14,FALSE),"是","否"),"")</f>
        <v>是</v>
      </c>
      <c r="Q12" s="20" t="s">
        <v>397</v>
      </c>
      <c r="R12" s="21">
        <f>COUNTIFS(int_ai_sample!$M$2:$M$30,1,人工標註!$M$2:$M$30,1)</f>
        <v>1</v>
      </c>
      <c r="S12" s="21">
        <f>COUNTIFS(int_ai_sample!$M$2:$M$30,1,人工標註!$M$2:$M$30,0)</f>
        <v>0</v>
      </c>
      <c r="T12" s="21">
        <f>COUNTIFS(int_ai_sample!$M$2:$M$30,0,人工標註!$M$2:$M$30,1)</f>
        <v>0</v>
      </c>
      <c r="U12" s="21">
        <f>COUNTIFS(int_ai_sample!$M$2:$M$30,0,人工標註!$M$2:$M$30,0)</f>
        <v>28</v>
      </c>
      <c r="V12" s="22">
        <f t="shared" si="2"/>
        <v>1</v>
      </c>
      <c r="W12" s="22">
        <f t="shared" si="3"/>
        <v>1</v>
      </c>
      <c r="X12" s="22">
        <f t="shared" si="4"/>
        <v>1</v>
      </c>
      <c r="Y12" s="23">
        <f t="shared" si="5"/>
        <v>1</v>
      </c>
    </row>
    <row r="13" spans="1:25" ht="22" customHeight="1">
      <c r="A13" s="7" t="s">
        <v>54</v>
      </c>
      <c r="B13" s="7">
        <f>IFERROR(VLOOKUP($A13,int_ai_sample!$A$2:$N$101,3,FALSE),"")</f>
        <v>1</v>
      </c>
      <c r="C13" s="8" t="str">
        <f>IFERROR(VLOOKUP($A13,int_ai_sample!$A$2:$N$101,5,FALSE),"")</f>
        <v>我訂的是一個商品，但送來的卻是另一個。對方說會再寄正確的，但我現在還在等。</v>
      </c>
      <c r="D13" s="7" t="str">
        <f>IFERROR(VLOOKUP($A13,int_ai_sample!$A$2:$N$101,6,FALSE),"")</f>
        <v>negative</v>
      </c>
      <c r="E13" s="7" t="str">
        <f>IFERROR(VLOOKUP($A13,人工標註!$A$2:$N$30,6,FALSE),"")</f>
        <v>negative</v>
      </c>
      <c r="F13" s="9" t="str">
        <f t="shared" si="0"/>
        <v>是</v>
      </c>
      <c r="G13" s="11">
        <f t="shared" si="1"/>
        <v>0.83</v>
      </c>
      <c r="H13" s="10" t="str">
        <f>IFERROR(IF(VLOOKUP($A13,int_ai_sample!$A$2:$N$101,7,FALSE)=VLOOKUP($A13,人工標註!$A$2:$N$30,7,FALSE),"是","否"),"")</f>
        <v>是</v>
      </c>
      <c r="I13" s="10" t="str">
        <f>IFERROR(IF(VLOOKUP($A13,int_ai_sample!$A$2:$N$101,8,FALSE)=VLOOKUP($A13,人工標註!$A$2:$N$30,8,FALSE),"是","否"),"")</f>
        <v>是</v>
      </c>
      <c r="J13" s="10" t="str">
        <f>IFERROR(IF(VLOOKUP($A13,int_ai_sample!$A$2:$N$101,9,FALSE)=VLOOKUP($A13,人工標註!$A$2:$N$30,9,FALSE),"是","否"),"")</f>
        <v>是</v>
      </c>
      <c r="K13" s="10" t="str">
        <f>IFERROR(IF(VLOOKUP($A13,int_ai_sample!$A$2:$N$101,10,FALSE)=VLOOKUP($A13,人工標註!$A$2:$N$30,10,FALSE),"是","否"),"")</f>
        <v>是</v>
      </c>
      <c r="L13" s="10" t="str">
        <f>IFERROR(IF(VLOOKUP($A13,int_ai_sample!$A$2:$N$101,11,FALSE)=VLOOKUP($A13,人工標註!$A$2:$N$30,11,FALSE),"是","否"),"")</f>
        <v>是</v>
      </c>
      <c r="M13" s="10" t="str">
        <f>IFERROR(IF(VLOOKUP($A13,int_ai_sample!$A$2:$N$101,12,FALSE)=VLOOKUP($A13,人工標註!$A$2:$N$30,12,FALSE),"是","否"),"")</f>
        <v>否</v>
      </c>
      <c r="N13" s="10" t="str">
        <f>IFERROR(IF(VLOOKUP($A13,int_ai_sample!$A$2:$N$101,13,FALSE)=VLOOKUP($A13,人工標註!$A$2:$N$30,13,FALSE),"是","否"),"")</f>
        <v>是</v>
      </c>
      <c r="O13" s="10" t="str">
        <f>IFERROR(IF(VLOOKUP($A13,int_ai_sample!$A$2:$N$101,14,FALSE)=VLOOKUP($A13,人工標註!$A$2:$N$30,14,FALSE),"是","否"),"")</f>
        <v>是</v>
      </c>
      <c r="Q13" s="24" t="s">
        <v>398</v>
      </c>
      <c r="R13" s="25">
        <f>COUNTIFS(int_ai_sample!$N$2:$N$30,1,人工標註!$N$2:$N$30,1)</f>
        <v>0</v>
      </c>
      <c r="S13" s="25">
        <f>COUNTIFS(int_ai_sample!$N$2:$N$30,1,人工標註!$N$2:$N$30,0)</f>
        <v>0</v>
      </c>
      <c r="T13" s="25">
        <f>COUNTIFS(int_ai_sample!$N$2:$N$30,0,人工標註!$N$2:$N$30,1)</f>
        <v>0</v>
      </c>
      <c r="U13" s="25">
        <f>COUNTIFS(int_ai_sample!$N$2:$N$30,0,人工標註!$N$2:$N$30,0)</f>
        <v>29</v>
      </c>
      <c r="V13" s="26">
        <f t="shared" si="2"/>
        <v>0</v>
      </c>
      <c r="W13" s="26">
        <f t="shared" si="3"/>
        <v>0</v>
      </c>
      <c r="X13" s="26">
        <f t="shared" si="4"/>
        <v>0</v>
      </c>
      <c r="Y13" s="27">
        <f t="shared" si="5"/>
        <v>0</v>
      </c>
    </row>
    <row r="14" spans="1:25" ht="22" customHeight="1">
      <c r="A14" s="7" t="s">
        <v>58</v>
      </c>
      <c r="B14" s="7">
        <f>IFERROR(VLOOKUP($A14,int_ai_sample!$A$2:$N$101,3,FALSE),"")</f>
        <v>5</v>
      </c>
      <c r="C14" s="8" t="str">
        <f>IFERROR(VLOOKUP($A14,int_ai_sample!$A$2:$N$101,5,FALSE),"")</f>
        <v>很好，很好。店家在期限內送貨。</v>
      </c>
      <c r="D14" s="7" t="str">
        <f>IFERROR(VLOOKUP($A14,int_ai_sample!$A$2:$N$101,6,FALSE),"")</f>
        <v>positive</v>
      </c>
      <c r="E14" s="7" t="str">
        <f>IFERROR(VLOOKUP($A14,人工標註!$A$2:$N$30,6,FALSE),"")</f>
        <v>positive</v>
      </c>
      <c r="F14" s="9" t="str">
        <f t="shared" si="0"/>
        <v>是</v>
      </c>
      <c r="G14" s="11">
        <f t="shared" si="1"/>
        <v>0.83</v>
      </c>
      <c r="H14" s="10" t="str">
        <f>IFERROR(IF(VLOOKUP($A14,int_ai_sample!$A$2:$N$101,7,FALSE)=VLOOKUP($A14,人工標註!$A$2:$N$30,7,FALSE),"是","否"),"")</f>
        <v>是</v>
      </c>
      <c r="I14" s="10" t="str">
        <f>IFERROR(IF(VLOOKUP($A14,int_ai_sample!$A$2:$N$101,8,FALSE)=VLOOKUP($A14,人工標註!$A$2:$N$30,8,FALSE),"是","否"),"")</f>
        <v>是</v>
      </c>
      <c r="J14" s="10" t="str">
        <f>IFERROR(IF(VLOOKUP($A14,int_ai_sample!$A$2:$N$101,9,FALSE)=VLOOKUP($A14,人工標註!$A$2:$N$30,9,FALSE),"是","否"),"")</f>
        <v>是</v>
      </c>
      <c r="K14" s="10" t="str">
        <f>IFERROR(IF(VLOOKUP($A14,int_ai_sample!$A$2:$N$101,10,FALSE)=VLOOKUP($A14,人工標註!$A$2:$N$30,10,FALSE),"是","否"),"")</f>
        <v>是</v>
      </c>
      <c r="L14" s="10" t="str">
        <f>IFERROR(IF(VLOOKUP($A14,int_ai_sample!$A$2:$N$101,11,FALSE)=VLOOKUP($A14,人工標註!$A$2:$N$30,11,FALSE),"是","否"),"")</f>
        <v>是</v>
      </c>
      <c r="M14" s="10" t="str">
        <f>IFERROR(IF(VLOOKUP($A14,int_ai_sample!$A$2:$N$101,12,FALSE)=VLOOKUP($A14,人工標註!$A$2:$N$30,12,FALSE),"是","否"),"")</f>
        <v>是</v>
      </c>
      <c r="N14" s="10" t="str">
        <f>IFERROR(IF(VLOOKUP($A14,int_ai_sample!$A$2:$N$101,13,FALSE)=VLOOKUP($A14,人工標註!$A$2:$N$30,13,FALSE),"是","否"),"")</f>
        <v>是</v>
      </c>
      <c r="O14" s="10" t="str">
        <f>IFERROR(IF(VLOOKUP($A14,int_ai_sample!$A$2:$N$101,14,FALSE)=VLOOKUP($A14,人工標註!$A$2:$N$30,14,FALSE),"是","否"),"")</f>
        <v>是</v>
      </c>
      <c r="Q14" s="28"/>
      <c r="R14" s="29"/>
      <c r="S14" s="29"/>
      <c r="T14" s="29"/>
      <c r="U14" s="29"/>
      <c r="V14" s="30"/>
      <c r="W14" s="30"/>
      <c r="X14" s="30"/>
      <c r="Y14" s="29"/>
    </row>
    <row r="15" spans="1:25" ht="22" customHeight="1">
      <c r="A15" s="7" t="s">
        <v>62</v>
      </c>
      <c r="B15" s="7">
        <f>IFERROR(VLOOKUP($A15,int_ai_sample!$A$2:$N$101,3,FALSE),"")</f>
        <v>2</v>
      </c>
      <c r="C15" s="8" t="str">
        <f>IFERROR(VLOOKUP($A15,int_ai_sample!$A$2:$N$101,5,FALSE),"")</f>
        <v>沒有任何說明就把訂單取消了。</v>
      </c>
      <c r="D15" s="7" t="str">
        <f>IFERROR(VLOOKUP($A15,int_ai_sample!$A$2:$N$101,6,FALSE),"")</f>
        <v>negative</v>
      </c>
      <c r="E15" s="7" t="str">
        <f>IFERROR(VLOOKUP($A15,人工標註!$A$2:$N$30,6,FALSE),"")</f>
        <v>negative</v>
      </c>
      <c r="F15" s="9" t="str">
        <f t="shared" si="0"/>
        <v>是</v>
      </c>
      <c r="G15" s="11">
        <f t="shared" si="1"/>
        <v>0.83</v>
      </c>
      <c r="H15" s="10" t="str">
        <f>IFERROR(IF(VLOOKUP($A15,int_ai_sample!$A$2:$N$101,7,FALSE)=VLOOKUP($A15,人工標註!$A$2:$N$30,7,FALSE),"是","否"),"")</f>
        <v>是</v>
      </c>
      <c r="I15" s="10" t="str">
        <f>IFERROR(IF(VLOOKUP($A15,int_ai_sample!$A$2:$N$101,8,FALSE)=VLOOKUP($A15,人工標註!$A$2:$N$30,8,FALSE),"是","否"),"")</f>
        <v>否</v>
      </c>
      <c r="J15" s="10" t="str">
        <f>IFERROR(IF(VLOOKUP($A15,int_ai_sample!$A$2:$N$101,9,FALSE)=VLOOKUP($A15,人工標註!$A$2:$N$30,9,FALSE),"是","否"),"")</f>
        <v>是</v>
      </c>
      <c r="K15" s="10" t="str">
        <f>IFERROR(IF(VLOOKUP($A15,int_ai_sample!$A$2:$N$101,10,FALSE)=VLOOKUP($A15,人工標註!$A$2:$N$30,10,FALSE),"是","否"),"")</f>
        <v>是</v>
      </c>
      <c r="L15" s="10" t="str">
        <f>IFERROR(IF(VLOOKUP($A15,int_ai_sample!$A$2:$N$101,11,FALSE)=VLOOKUP($A15,人工標註!$A$2:$N$30,11,FALSE),"是","否"),"")</f>
        <v>是</v>
      </c>
      <c r="M15" s="10" t="str">
        <f>IFERROR(IF(VLOOKUP($A15,int_ai_sample!$A$2:$N$101,12,FALSE)=VLOOKUP($A15,人工標註!$A$2:$N$30,12,FALSE),"是","否"),"")</f>
        <v>是</v>
      </c>
      <c r="N15" s="10" t="str">
        <f>IFERROR(IF(VLOOKUP($A15,int_ai_sample!$A$2:$N$101,13,FALSE)=VLOOKUP($A15,人工標註!$A$2:$N$30,13,FALSE),"是","否"),"")</f>
        <v>是</v>
      </c>
      <c r="O15" s="10" t="str">
        <f>IFERROR(IF(VLOOKUP($A15,int_ai_sample!$A$2:$N$101,14,FALSE)=VLOOKUP($A15,人工標註!$A$2:$N$30,14,FALSE),"是","否"),"")</f>
        <v>是</v>
      </c>
      <c r="Q15" s="31" t="s">
        <v>399</v>
      </c>
      <c r="R15" s="32"/>
      <c r="S15" s="32"/>
      <c r="T15" s="32"/>
      <c r="U15" s="32"/>
      <c r="V15" s="33">
        <f>AVERAGE(V6:V13)</f>
        <v>0.55406746031746024</v>
      </c>
      <c r="W15" s="33">
        <f>AVERAGE(W6:W13)</f>
        <v>0.57291666666666663</v>
      </c>
      <c r="X15" s="33">
        <f>AVERAGE(X6:X13)</f>
        <v>0.50668498168498166</v>
      </c>
      <c r="Y15" s="34">
        <f>SUM(Y6:Y13)</f>
        <v>32</v>
      </c>
    </row>
    <row r="16" spans="1:25" ht="22" customHeight="1">
      <c r="A16" s="7" t="s">
        <v>65</v>
      </c>
      <c r="B16" s="7">
        <f>IFERROR(VLOOKUP($A16,int_ai_sample!$A$2:$N$101,3,FALSE),"")</f>
        <v>2</v>
      </c>
      <c r="C16" s="8" t="str">
        <f>IFERROR(VLOOKUP($A16,int_ai_sample!$A$2:$N$101,5,FALSE),"")</f>
        <v>商品沒有送到！</v>
      </c>
      <c r="D16" s="7" t="str">
        <f>IFERROR(VLOOKUP($A16,int_ai_sample!$A$2:$N$101,6,FALSE),"")</f>
        <v>negative</v>
      </c>
      <c r="E16" s="7" t="str">
        <f>IFERROR(VLOOKUP($A16,人工標註!$A$2:$N$30,6,FALSE),"")</f>
        <v>negative</v>
      </c>
      <c r="F16" s="9" t="str">
        <f t="shared" si="0"/>
        <v>是</v>
      </c>
      <c r="G16" s="11">
        <f t="shared" si="1"/>
        <v>0.83</v>
      </c>
      <c r="H16" s="10" t="str">
        <f>IFERROR(IF(VLOOKUP($A16,int_ai_sample!$A$2:$N$101,7,FALSE)=VLOOKUP($A16,人工標註!$A$2:$N$30,7,FALSE),"是","否"),"")</f>
        <v>是</v>
      </c>
      <c r="I16" s="10" t="str">
        <f>IFERROR(IF(VLOOKUP($A16,int_ai_sample!$A$2:$N$101,8,FALSE)=VLOOKUP($A16,人工標註!$A$2:$N$30,8,FALSE),"是","否"),"")</f>
        <v>是</v>
      </c>
      <c r="J16" s="10" t="str">
        <f>IFERROR(IF(VLOOKUP($A16,int_ai_sample!$A$2:$N$101,9,FALSE)=VLOOKUP($A16,人工標註!$A$2:$N$30,9,FALSE),"是","否"),"")</f>
        <v>是</v>
      </c>
      <c r="K16" s="10" t="str">
        <f>IFERROR(IF(VLOOKUP($A16,int_ai_sample!$A$2:$N$101,10,FALSE)=VLOOKUP($A16,人工標註!$A$2:$N$30,10,FALSE),"是","否"),"")</f>
        <v>是</v>
      </c>
      <c r="L16" s="10" t="str">
        <f>IFERROR(IF(VLOOKUP($A16,int_ai_sample!$A$2:$N$101,11,FALSE)=VLOOKUP($A16,人工標註!$A$2:$N$30,11,FALSE),"是","否"),"")</f>
        <v>是</v>
      </c>
      <c r="M16" s="10" t="str">
        <f>IFERROR(IF(VLOOKUP($A16,int_ai_sample!$A$2:$N$101,12,FALSE)=VLOOKUP($A16,人工標註!$A$2:$N$30,12,FALSE),"是","否"),"")</f>
        <v>是</v>
      </c>
      <c r="N16" s="10" t="str">
        <f>IFERROR(IF(VLOOKUP($A16,int_ai_sample!$A$2:$N$101,13,FALSE)=VLOOKUP($A16,人工標註!$A$2:$N$30,13,FALSE),"是","否"),"")</f>
        <v>是</v>
      </c>
      <c r="O16" s="10" t="str">
        <f>IFERROR(IF(VLOOKUP($A16,int_ai_sample!$A$2:$N$101,14,FALSE)=VLOOKUP($A16,人工標註!$A$2:$N$30,14,FALSE),"是","否"),"")</f>
        <v>是</v>
      </c>
      <c r="Q16" s="35" t="s">
        <v>400</v>
      </c>
      <c r="R16" s="36">
        <f>SUM(R6:R13)</f>
        <v>26</v>
      </c>
      <c r="S16" s="36">
        <f>SUM(S6:S13)</f>
        <v>8</v>
      </c>
      <c r="T16" s="36">
        <f>SUM(T6:T13)</f>
        <v>6</v>
      </c>
      <c r="U16" s="36">
        <f>SUM(U6:U13)</f>
        <v>192</v>
      </c>
      <c r="V16" s="37">
        <f>IFERROR(R16/(R16+S16),0)</f>
        <v>0.76470588235294112</v>
      </c>
      <c r="W16" s="37">
        <f>IFERROR(R16/(R16+T16),0)</f>
        <v>0.8125</v>
      </c>
      <c r="X16" s="37">
        <f>IFERROR(2*V16*W16/(V16+W16),0)</f>
        <v>0.78787878787878796</v>
      </c>
      <c r="Y16" s="38">
        <f>SUM(Y6:Y13)</f>
        <v>32</v>
      </c>
    </row>
    <row r="17" spans="1:15" ht="22" customHeight="1">
      <c r="A17" s="7" t="s">
        <v>68</v>
      </c>
      <c r="B17" s="7">
        <f>IFERROR(VLOOKUP($A17,int_ai_sample!$A$2:$N$101,3,FALSE),"")</f>
        <v>1</v>
      </c>
      <c r="C17" s="8" t="str">
        <f>IFERROR(VLOOKUP($A17,int_ai_sample!$A$2:$N$101,5,FALSE),"")</f>
        <v>商品已經超過預定送達期限。</v>
      </c>
      <c r="D17" s="7" t="str">
        <f>IFERROR(VLOOKUP($A17,int_ai_sample!$A$2:$N$101,6,FALSE),"")</f>
        <v>negative</v>
      </c>
      <c r="E17" s="7" t="str">
        <f>IFERROR(VLOOKUP($A17,人工標註!$A$2:$N$30,6,FALSE),"")</f>
        <v>negative</v>
      </c>
      <c r="F17" s="9" t="str">
        <f t="shared" si="0"/>
        <v>是</v>
      </c>
      <c r="G17" s="11">
        <f t="shared" si="1"/>
        <v>0.83</v>
      </c>
      <c r="H17" s="10" t="str">
        <f>IFERROR(IF(VLOOKUP($A17,int_ai_sample!$A$2:$N$101,7,FALSE)=VLOOKUP($A17,人工標註!$A$2:$N$30,7,FALSE),"是","否"),"")</f>
        <v>是</v>
      </c>
      <c r="I17" s="10" t="str">
        <f>IFERROR(IF(VLOOKUP($A17,int_ai_sample!$A$2:$N$101,8,FALSE)=VLOOKUP($A17,人工標註!$A$2:$N$30,8,FALSE),"是","否"),"")</f>
        <v>是</v>
      </c>
      <c r="J17" s="10" t="str">
        <f>IFERROR(IF(VLOOKUP($A17,int_ai_sample!$A$2:$N$101,9,FALSE)=VLOOKUP($A17,人工標註!$A$2:$N$30,9,FALSE),"是","否"),"")</f>
        <v>是</v>
      </c>
      <c r="K17" s="10" t="str">
        <f>IFERROR(IF(VLOOKUP($A17,int_ai_sample!$A$2:$N$101,10,FALSE)=VLOOKUP($A17,人工標註!$A$2:$N$30,10,FALSE),"是","否"),"")</f>
        <v>是</v>
      </c>
      <c r="L17" s="10" t="str">
        <f>IFERROR(IF(VLOOKUP($A17,int_ai_sample!$A$2:$N$101,11,FALSE)=VLOOKUP($A17,人工標註!$A$2:$N$30,11,FALSE),"是","否"),"")</f>
        <v>是</v>
      </c>
      <c r="M17" s="10" t="str">
        <f>IFERROR(IF(VLOOKUP($A17,int_ai_sample!$A$2:$N$101,12,FALSE)=VLOOKUP($A17,人工標註!$A$2:$N$30,12,FALSE),"是","否"),"")</f>
        <v>是</v>
      </c>
      <c r="N17" s="10" t="str">
        <f>IFERROR(IF(VLOOKUP($A17,int_ai_sample!$A$2:$N$101,13,FALSE)=VLOOKUP($A17,人工標註!$A$2:$N$30,13,FALSE),"是","否"),"")</f>
        <v>是</v>
      </c>
      <c r="O17" s="10" t="str">
        <f>IFERROR(IF(VLOOKUP($A17,int_ai_sample!$A$2:$N$101,14,FALSE)=VLOOKUP($A17,人工標註!$A$2:$N$30,14,FALSE),"是","否"),"")</f>
        <v>是</v>
      </c>
    </row>
    <row r="18" spans="1:15" ht="22" customHeight="1">
      <c r="A18" s="7" t="s">
        <v>72</v>
      </c>
      <c r="B18" s="7">
        <f>IFERROR(VLOOKUP($A18,int_ai_sample!$A$2:$N$101,3,FALSE),"")</f>
        <v>5</v>
      </c>
      <c r="C18" s="8" t="str">
        <f>IFERROR(VLOOKUP($A18,int_ai_sample!$A$2:$N$101,5,FALSE),"")</f>
        <v>賣家很好，商品也很好!!</v>
      </c>
      <c r="D18" s="7" t="str">
        <f>IFERROR(VLOOKUP($A18,int_ai_sample!$A$2:$N$101,6,FALSE),"")</f>
        <v>positive</v>
      </c>
      <c r="E18" s="7" t="str">
        <f>IFERROR(VLOOKUP($A18,人工標註!$A$2:$N$30,6,FALSE),"")</f>
        <v>positive</v>
      </c>
      <c r="F18" s="9" t="str">
        <f t="shared" si="0"/>
        <v>是</v>
      </c>
      <c r="G18" s="11">
        <f t="shared" si="1"/>
        <v>0.83</v>
      </c>
      <c r="H18" s="10" t="str">
        <f>IFERROR(IF(VLOOKUP($A18,int_ai_sample!$A$2:$N$101,7,FALSE)=VLOOKUP($A18,人工標註!$A$2:$N$30,7,FALSE),"是","否"),"")</f>
        <v>是</v>
      </c>
      <c r="I18" s="10" t="str">
        <f>IFERROR(IF(VLOOKUP($A18,int_ai_sample!$A$2:$N$101,8,FALSE)=VLOOKUP($A18,人工標註!$A$2:$N$30,8,FALSE),"是","否"),"")</f>
        <v>是</v>
      </c>
      <c r="J18" s="10" t="str">
        <f>IFERROR(IF(VLOOKUP($A18,int_ai_sample!$A$2:$N$101,9,FALSE)=VLOOKUP($A18,人工標註!$A$2:$N$30,9,FALSE),"是","否"),"")</f>
        <v>否</v>
      </c>
      <c r="K18" s="10" t="str">
        <f>IFERROR(IF(VLOOKUP($A18,int_ai_sample!$A$2:$N$101,10,FALSE)=VLOOKUP($A18,人工標註!$A$2:$N$30,10,FALSE),"是","否"),"")</f>
        <v>是</v>
      </c>
      <c r="L18" s="10" t="str">
        <f>IFERROR(IF(VLOOKUP($A18,int_ai_sample!$A$2:$N$101,11,FALSE)=VLOOKUP($A18,人工標註!$A$2:$N$30,11,FALSE),"是","否"),"")</f>
        <v>是</v>
      </c>
      <c r="M18" s="10" t="str">
        <f>IFERROR(IF(VLOOKUP($A18,int_ai_sample!$A$2:$N$101,12,FALSE)=VLOOKUP($A18,人工標註!$A$2:$N$30,12,FALSE),"是","否"),"")</f>
        <v>否</v>
      </c>
      <c r="N18" s="10" t="str">
        <f>IFERROR(IF(VLOOKUP($A18,int_ai_sample!$A$2:$N$101,13,FALSE)=VLOOKUP($A18,人工標註!$A$2:$N$30,13,FALSE),"是","否"),"")</f>
        <v>是</v>
      </c>
      <c r="O18" s="10" t="str">
        <f>IFERROR(IF(VLOOKUP($A18,int_ai_sample!$A$2:$N$101,14,FALSE)=VLOOKUP($A18,人工標註!$A$2:$N$30,14,FALSE),"是","否"),"")</f>
        <v>是</v>
      </c>
    </row>
    <row r="19" spans="1:15" ht="22" customHeight="1">
      <c r="A19" s="7" t="s">
        <v>76</v>
      </c>
      <c r="B19" s="7">
        <f>IFERROR(VLOOKUP($A19,int_ai_sample!$A$2:$N$101,3,FALSE),"")</f>
        <v>4</v>
      </c>
      <c r="C19" s="8" t="str">
        <f>IFERROR(VLOOKUP($A19,int_ai_sample!$A$2:$N$101,5,FALSE),"")</f>
        <v>很討厭的是我得跑去郵局領貨。就算我不住在風險區域也一樣。</v>
      </c>
      <c r="D19" s="7" t="str">
        <f>IFERROR(VLOOKUP($A19,int_ai_sample!$A$2:$N$101,6,FALSE),"")</f>
        <v>negative</v>
      </c>
      <c r="E19" s="7" t="str">
        <f>IFERROR(VLOOKUP($A19,人工標註!$A$2:$N$30,6,FALSE),"")</f>
        <v>negative</v>
      </c>
      <c r="F19" s="9" t="str">
        <f t="shared" si="0"/>
        <v>是</v>
      </c>
      <c r="G19" s="11">
        <f t="shared" si="1"/>
        <v>0.83</v>
      </c>
      <c r="H19" s="10" t="str">
        <f>IFERROR(IF(VLOOKUP($A19,int_ai_sample!$A$2:$N$101,7,FALSE)=VLOOKUP($A19,人工標註!$A$2:$N$30,7,FALSE),"是","否"),"")</f>
        <v>是</v>
      </c>
      <c r="I19" s="10" t="str">
        <f>IFERROR(IF(VLOOKUP($A19,int_ai_sample!$A$2:$N$101,8,FALSE)=VLOOKUP($A19,人工標註!$A$2:$N$30,8,FALSE),"是","否"),"")</f>
        <v>是</v>
      </c>
      <c r="J19" s="10" t="str">
        <f>IFERROR(IF(VLOOKUP($A19,int_ai_sample!$A$2:$N$101,9,FALSE)=VLOOKUP($A19,人工標註!$A$2:$N$30,9,FALSE),"是","否"),"")</f>
        <v>是</v>
      </c>
      <c r="K19" s="10" t="str">
        <f>IFERROR(IF(VLOOKUP($A19,int_ai_sample!$A$2:$N$101,10,FALSE)=VLOOKUP($A19,人工標註!$A$2:$N$30,10,FALSE),"是","否"),"")</f>
        <v>是</v>
      </c>
      <c r="L19" s="10" t="str">
        <f>IFERROR(IF(VLOOKUP($A19,int_ai_sample!$A$2:$N$101,11,FALSE)=VLOOKUP($A19,人工標註!$A$2:$N$30,11,FALSE),"是","否"),"")</f>
        <v>是</v>
      </c>
      <c r="M19" s="10" t="str">
        <f>IFERROR(IF(VLOOKUP($A19,int_ai_sample!$A$2:$N$101,12,FALSE)=VLOOKUP($A19,人工標註!$A$2:$N$30,12,FALSE),"是","否"),"")</f>
        <v>是</v>
      </c>
      <c r="N19" s="10" t="str">
        <f>IFERROR(IF(VLOOKUP($A19,int_ai_sample!$A$2:$N$101,13,FALSE)=VLOOKUP($A19,人工標註!$A$2:$N$30,13,FALSE),"是","否"),"")</f>
        <v>是</v>
      </c>
      <c r="O19" s="10" t="str">
        <f>IFERROR(IF(VLOOKUP($A19,int_ai_sample!$A$2:$N$101,14,FALSE)=VLOOKUP($A19,人工標註!$A$2:$N$30,14,FALSE),"是","否"),"")</f>
        <v>是</v>
      </c>
    </row>
    <row r="20" spans="1:15" ht="22" customHeight="1">
      <c r="A20" s="7" t="s">
        <v>80</v>
      </c>
      <c r="B20" s="7">
        <f>IFERROR(VLOOKUP($A20,int_ai_sample!$A$2:$N$101,3,FALSE),"")</f>
        <v>1</v>
      </c>
      <c r="C20" s="8" t="str">
        <f>IFERROR(VLOOKUP($A20,int_ai_sample!$A$2:$N$101,5,FALSE),"")</f>
        <v>我得去郵局取件；他們沒有通知我還得特地跑一趟，而且也沒有送到家裡。</v>
      </c>
      <c r="D20" s="7" t="str">
        <f>IFERROR(VLOOKUP($A20,int_ai_sample!$A$2:$N$101,6,FALSE),"")</f>
        <v>negative</v>
      </c>
      <c r="E20" s="7" t="str">
        <f>IFERROR(VLOOKUP($A20,人工標註!$A$2:$N$30,6,FALSE),"")</f>
        <v>negative</v>
      </c>
      <c r="F20" s="9" t="str">
        <f t="shared" si="0"/>
        <v>是</v>
      </c>
      <c r="G20" s="11">
        <f t="shared" si="1"/>
        <v>0.83</v>
      </c>
      <c r="H20" s="10" t="str">
        <f>IFERROR(IF(VLOOKUP($A20,int_ai_sample!$A$2:$N$101,7,FALSE)=VLOOKUP($A20,人工標註!$A$2:$N$30,7,FALSE),"是","否"),"")</f>
        <v>是</v>
      </c>
      <c r="I20" s="10" t="str">
        <f>IFERROR(IF(VLOOKUP($A20,int_ai_sample!$A$2:$N$101,8,FALSE)=VLOOKUP($A20,人工標註!$A$2:$N$30,8,FALSE),"是","否"),"")</f>
        <v>是</v>
      </c>
      <c r="J20" s="10" t="str">
        <f>IFERROR(IF(VLOOKUP($A20,int_ai_sample!$A$2:$N$101,9,FALSE)=VLOOKUP($A20,人工標註!$A$2:$N$30,9,FALSE),"是","否"),"")</f>
        <v>是</v>
      </c>
      <c r="K20" s="10" t="str">
        <f>IFERROR(IF(VLOOKUP($A20,int_ai_sample!$A$2:$N$101,10,FALSE)=VLOOKUP($A20,人工標註!$A$2:$N$30,10,FALSE),"是","否"),"")</f>
        <v>是</v>
      </c>
      <c r="L20" s="10" t="str">
        <f>IFERROR(IF(VLOOKUP($A20,int_ai_sample!$A$2:$N$101,11,FALSE)=VLOOKUP($A20,人工標註!$A$2:$N$30,11,FALSE),"是","否"),"")</f>
        <v>是</v>
      </c>
      <c r="M20" s="10" t="str">
        <f>IFERROR(IF(VLOOKUP($A20,int_ai_sample!$A$2:$N$101,12,FALSE)=VLOOKUP($A20,人工標註!$A$2:$N$30,12,FALSE),"是","否"),"")</f>
        <v>是</v>
      </c>
      <c r="N20" s="10" t="str">
        <f>IFERROR(IF(VLOOKUP($A20,int_ai_sample!$A$2:$N$101,13,FALSE)=VLOOKUP($A20,人工標註!$A$2:$N$30,13,FALSE),"是","否"),"")</f>
        <v>是</v>
      </c>
      <c r="O20" s="10" t="str">
        <f>IFERROR(IF(VLOOKUP($A20,int_ai_sample!$A$2:$N$101,14,FALSE)=VLOOKUP($A20,人工標註!$A$2:$N$30,14,FALSE),"是","否"),"")</f>
        <v>是</v>
      </c>
    </row>
    <row r="21" spans="1:15" ht="22" customHeight="1">
      <c r="A21" s="7" t="s">
        <v>83</v>
      </c>
      <c r="B21" s="7">
        <f>IFERROR(VLOOKUP($A21,int_ai_sample!$A$2:$N$101,3,FALSE),"")</f>
        <v>2</v>
      </c>
      <c r="C21" s="8" t="str">
        <f>IFERROR(VLOOKUP($A21,int_ai_sample!$A$2:$N$101,5,FALSE),"")</f>
        <v>我沒有收到商品。</v>
      </c>
      <c r="D21" s="7" t="str">
        <f>IFERROR(VLOOKUP($A21,int_ai_sample!$A$2:$N$101,6,FALSE),"")</f>
        <v>negative</v>
      </c>
      <c r="E21" s="7" t="str">
        <f>IFERROR(VLOOKUP($A21,人工標註!$A$2:$N$30,6,FALSE),"")</f>
        <v>negative</v>
      </c>
      <c r="F21" s="9" t="str">
        <f t="shared" si="0"/>
        <v>是</v>
      </c>
      <c r="G21" s="11">
        <f t="shared" si="1"/>
        <v>0.83</v>
      </c>
      <c r="H21" s="10" t="str">
        <f>IFERROR(IF(VLOOKUP($A21,int_ai_sample!$A$2:$N$101,7,FALSE)=VLOOKUP($A21,人工標註!$A$2:$N$30,7,FALSE),"是","否"),"")</f>
        <v>是</v>
      </c>
      <c r="I21" s="10" t="str">
        <f>IFERROR(IF(VLOOKUP($A21,int_ai_sample!$A$2:$N$101,8,FALSE)=VLOOKUP($A21,人工標註!$A$2:$N$30,8,FALSE),"是","否"),"")</f>
        <v>是</v>
      </c>
      <c r="J21" s="10" t="str">
        <f>IFERROR(IF(VLOOKUP($A21,int_ai_sample!$A$2:$N$101,9,FALSE)=VLOOKUP($A21,人工標註!$A$2:$N$30,9,FALSE),"是","否"),"")</f>
        <v>是</v>
      </c>
      <c r="K21" s="10" t="str">
        <f>IFERROR(IF(VLOOKUP($A21,int_ai_sample!$A$2:$N$101,10,FALSE)=VLOOKUP($A21,人工標註!$A$2:$N$30,10,FALSE),"是","否"),"")</f>
        <v>是</v>
      </c>
      <c r="L21" s="10" t="str">
        <f>IFERROR(IF(VLOOKUP($A21,int_ai_sample!$A$2:$N$101,11,FALSE)=VLOOKUP($A21,人工標註!$A$2:$N$30,11,FALSE),"是","否"),"")</f>
        <v>是</v>
      </c>
      <c r="M21" s="10" t="str">
        <f>IFERROR(IF(VLOOKUP($A21,int_ai_sample!$A$2:$N$101,12,FALSE)=VLOOKUP($A21,人工標註!$A$2:$N$30,12,FALSE),"是","否"),"")</f>
        <v>是</v>
      </c>
      <c r="N21" s="10" t="str">
        <f>IFERROR(IF(VLOOKUP($A21,int_ai_sample!$A$2:$N$101,13,FALSE)=VLOOKUP($A21,人工標註!$A$2:$N$30,13,FALSE),"是","否"),"")</f>
        <v>是</v>
      </c>
      <c r="O21" s="10" t="str">
        <f>IFERROR(IF(VLOOKUP($A21,int_ai_sample!$A$2:$N$101,14,FALSE)=VLOOKUP($A21,人工標註!$A$2:$N$30,14,FALSE),"是","否"),"")</f>
        <v>是</v>
      </c>
    </row>
    <row r="22" spans="1:15" ht="22" customHeight="1">
      <c r="A22" s="7" t="s">
        <v>85</v>
      </c>
      <c r="B22" s="7">
        <f>IFERROR(VLOOKUP($A22,int_ai_sample!$A$2:$N$101,3,FALSE),"")</f>
        <v>1</v>
      </c>
      <c r="C22" s="8" t="str">
        <f>IFERROR(VLOOKUP($A22,int_ai_sample!$A$2:$N$101,5,FALSE),"")</f>
        <v>我申請了更換，對方說兩天內會回覆我，讓我把商品退回商店，但到現在都沒有回覆。我不要這個塑膠製品。</v>
      </c>
      <c r="D22" s="7" t="str">
        <f>IFERROR(VLOOKUP($A22,int_ai_sample!$A$2:$N$101,6,FALSE),"")</f>
        <v>negative</v>
      </c>
      <c r="E22" s="7" t="str">
        <f>IFERROR(VLOOKUP($A22,人工標註!$A$2:$N$30,6,FALSE),"")</f>
        <v>negative</v>
      </c>
      <c r="F22" s="9" t="str">
        <f t="shared" si="0"/>
        <v>是</v>
      </c>
      <c r="G22" s="11">
        <f t="shared" si="1"/>
        <v>0.83</v>
      </c>
      <c r="H22" s="10" t="str">
        <f>IFERROR(IF(VLOOKUP($A22,int_ai_sample!$A$2:$N$101,7,FALSE)=VLOOKUP($A22,人工標註!$A$2:$N$30,7,FALSE),"是","否"),"")</f>
        <v>是</v>
      </c>
      <c r="I22" s="10" t="str">
        <f>IFERROR(IF(VLOOKUP($A22,int_ai_sample!$A$2:$N$101,8,FALSE)=VLOOKUP($A22,人工標註!$A$2:$N$30,8,FALSE),"是","否"),"")</f>
        <v>是</v>
      </c>
      <c r="J22" s="10" t="str">
        <f>IFERROR(IF(VLOOKUP($A22,int_ai_sample!$A$2:$N$101,9,FALSE)=VLOOKUP($A22,人工標註!$A$2:$N$30,9,FALSE),"是","否"),"")</f>
        <v>否</v>
      </c>
      <c r="K22" s="10" t="str">
        <f>IFERROR(IF(VLOOKUP($A22,int_ai_sample!$A$2:$N$101,10,FALSE)=VLOOKUP($A22,人工標註!$A$2:$N$30,10,FALSE),"是","否"),"")</f>
        <v>是</v>
      </c>
      <c r="L22" s="10" t="str">
        <f>IFERROR(IF(VLOOKUP($A22,int_ai_sample!$A$2:$N$101,11,FALSE)=VLOOKUP($A22,人工標註!$A$2:$N$30,11,FALSE),"是","否"),"")</f>
        <v>是</v>
      </c>
      <c r="M22" s="10" t="str">
        <f>IFERROR(IF(VLOOKUP($A22,int_ai_sample!$A$2:$N$101,12,FALSE)=VLOOKUP($A22,人工標註!$A$2:$N$30,12,FALSE),"是","否"),"")</f>
        <v>是</v>
      </c>
      <c r="N22" s="10" t="str">
        <f>IFERROR(IF(VLOOKUP($A22,int_ai_sample!$A$2:$N$101,13,FALSE)=VLOOKUP($A22,人工標註!$A$2:$N$30,13,FALSE),"是","否"),"")</f>
        <v>是</v>
      </c>
      <c r="O22" s="10" t="str">
        <f>IFERROR(IF(VLOOKUP($A22,int_ai_sample!$A$2:$N$101,14,FALSE)=VLOOKUP($A22,人工標註!$A$2:$N$30,14,FALSE),"是","否"),"")</f>
        <v>是</v>
      </c>
    </row>
    <row r="23" spans="1:15" ht="22" customHeight="1">
      <c r="A23" s="7" t="s">
        <v>88</v>
      </c>
      <c r="B23" s="7">
        <f>IFERROR(VLOOKUP($A23,int_ai_sample!$A$2:$N$101,3,FALSE),"")</f>
        <v>2</v>
      </c>
      <c r="C23" s="8" t="str">
        <f>IFERROR(VLOOKUP($A23,int_ai_sample!$A$2:$N$101,5,FALSE),"")</f>
        <v>商品正確送達，但我覺得配送時間實在太、太慢了。</v>
      </c>
      <c r="D23" s="7" t="str">
        <f>IFERROR(VLOOKUP($A23,int_ai_sample!$A$2:$N$101,6,FALSE),"")</f>
        <v>negative</v>
      </c>
      <c r="E23" s="7" t="str">
        <f>IFERROR(VLOOKUP($A23,人工標註!$A$2:$N$30,6,FALSE),"")</f>
        <v>mixed</v>
      </c>
      <c r="F23" s="9" t="str">
        <f t="shared" si="0"/>
        <v>否</v>
      </c>
      <c r="G23" s="11">
        <f t="shared" si="1"/>
        <v>0.83</v>
      </c>
      <c r="H23" s="10" t="str">
        <f>IFERROR(IF(VLOOKUP($A23,int_ai_sample!$A$2:$N$101,7,FALSE)=VLOOKUP($A23,人工標註!$A$2:$N$30,7,FALSE),"是","否"),"")</f>
        <v>是</v>
      </c>
      <c r="I23" s="10" t="str">
        <f>IFERROR(IF(VLOOKUP($A23,int_ai_sample!$A$2:$N$101,8,FALSE)=VLOOKUP($A23,人工標註!$A$2:$N$30,8,FALSE),"是","否"),"")</f>
        <v>否</v>
      </c>
      <c r="J23" s="10" t="str">
        <f>IFERROR(IF(VLOOKUP($A23,int_ai_sample!$A$2:$N$101,9,FALSE)=VLOOKUP($A23,人工標註!$A$2:$N$30,9,FALSE),"是","否"),"")</f>
        <v>是</v>
      </c>
      <c r="K23" s="10" t="str">
        <f>IFERROR(IF(VLOOKUP($A23,int_ai_sample!$A$2:$N$101,10,FALSE)=VLOOKUP($A23,人工標註!$A$2:$N$30,10,FALSE),"是","否"),"")</f>
        <v>是</v>
      </c>
      <c r="L23" s="10" t="str">
        <f>IFERROR(IF(VLOOKUP($A23,int_ai_sample!$A$2:$N$101,11,FALSE)=VLOOKUP($A23,人工標註!$A$2:$N$30,11,FALSE),"是","否"),"")</f>
        <v>是</v>
      </c>
      <c r="M23" s="10" t="str">
        <f>IFERROR(IF(VLOOKUP($A23,int_ai_sample!$A$2:$N$101,12,FALSE)=VLOOKUP($A23,人工標註!$A$2:$N$30,12,FALSE),"是","否"),"")</f>
        <v>是</v>
      </c>
      <c r="N23" s="10" t="str">
        <f>IFERROR(IF(VLOOKUP($A23,int_ai_sample!$A$2:$N$101,13,FALSE)=VLOOKUP($A23,人工標註!$A$2:$N$30,13,FALSE),"是","否"),"")</f>
        <v>是</v>
      </c>
      <c r="O23" s="10" t="str">
        <f>IFERROR(IF(VLOOKUP($A23,int_ai_sample!$A$2:$N$101,14,FALSE)=VLOOKUP($A23,人工標註!$A$2:$N$30,14,FALSE),"是","否"),"")</f>
        <v>是</v>
      </c>
    </row>
    <row r="24" spans="1:15" ht="22" customHeight="1">
      <c r="A24" s="7" t="s">
        <v>92</v>
      </c>
      <c r="B24" s="7">
        <f>IFERROR(VLOOKUP($A24,int_ai_sample!$A$2:$N$101,3,FALSE),"")</f>
        <v>1</v>
      </c>
      <c r="C24" s="8" t="str">
        <f>IFERROR(VLOOKUP($A24,int_ai_sample!$A$2:$N$101,5,FALSE),"")</f>
        <v>我無法取得商品配送的相關資訊。</v>
      </c>
      <c r="D24" s="7" t="str">
        <f>IFERROR(VLOOKUP($A24,int_ai_sample!$A$2:$N$101,6,FALSE),"")</f>
        <v>negative</v>
      </c>
      <c r="E24" s="7" t="str">
        <f>IFERROR(VLOOKUP($A24,人工標註!$A$2:$N$30,6,FALSE),"")</f>
        <v>negative</v>
      </c>
      <c r="F24" s="9" t="str">
        <f t="shared" si="0"/>
        <v>是</v>
      </c>
      <c r="G24" s="11">
        <f t="shared" si="1"/>
        <v>0.83</v>
      </c>
      <c r="H24" s="10" t="str">
        <f>IFERROR(IF(VLOOKUP($A24,int_ai_sample!$A$2:$N$101,7,FALSE)=VLOOKUP($A24,人工標註!$A$2:$N$30,7,FALSE),"是","否"),"")</f>
        <v>否</v>
      </c>
      <c r="I24" s="10" t="str">
        <f>IFERROR(IF(VLOOKUP($A24,int_ai_sample!$A$2:$N$101,8,FALSE)=VLOOKUP($A24,人工標註!$A$2:$N$30,8,FALSE),"是","否"),"")</f>
        <v>是</v>
      </c>
      <c r="J24" s="10" t="str">
        <f>IFERROR(IF(VLOOKUP($A24,int_ai_sample!$A$2:$N$101,9,FALSE)=VLOOKUP($A24,人工標註!$A$2:$N$30,9,FALSE),"是","否"),"")</f>
        <v>是</v>
      </c>
      <c r="K24" s="10" t="str">
        <f>IFERROR(IF(VLOOKUP($A24,int_ai_sample!$A$2:$N$101,10,FALSE)=VLOOKUP($A24,人工標註!$A$2:$N$30,10,FALSE),"是","否"),"")</f>
        <v>是</v>
      </c>
      <c r="L24" s="10" t="str">
        <f>IFERROR(IF(VLOOKUP($A24,int_ai_sample!$A$2:$N$101,11,FALSE)=VLOOKUP($A24,人工標註!$A$2:$N$30,11,FALSE),"是","否"),"")</f>
        <v>是</v>
      </c>
      <c r="M24" s="10" t="str">
        <f>IFERROR(IF(VLOOKUP($A24,int_ai_sample!$A$2:$N$101,12,FALSE)=VLOOKUP($A24,人工標註!$A$2:$N$30,12,FALSE),"是","否"),"")</f>
        <v>是</v>
      </c>
      <c r="N24" s="10" t="str">
        <f>IFERROR(IF(VLOOKUP($A24,int_ai_sample!$A$2:$N$101,13,FALSE)=VLOOKUP($A24,人工標註!$A$2:$N$30,13,FALSE),"是","否"),"")</f>
        <v>是</v>
      </c>
      <c r="O24" s="10" t="str">
        <f>IFERROR(IF(VLOOKUP($A24,int_ai_sample!$A$2:$N$101,14,FALSE)=VLOOKUP($A24,人工標註!$A$2:$N$30,14,FALSE),"是","否"),"")</f>
        <v>是</v>
      </c>
    </row>
    <row r="25" spans="1:15" ht="22" customHeight="1">
      <c r="A25" s="7" t="s">
        <v>95</v>
      </c>
      <c r="B25" s="7">
        <f>IFERROR(VLOOKUP($A25,int_ai_sample!$A$2:$N$101,3,FALSE),"")</f>
        <v>1</v>
      </c>
      <c r="C25" s="8" t="str">
        <f>IFERROR(VLOOKUP($A25,int_ai_sample!$A$2:$N$101,5,FALSE),"")</f>
        <v>這個娃娃沒有符合我在 lannister 的攤位看到的規格/內容。</v>
      </c>
      <c r="D25" s="7" t="str">
        <f>IFERROR(VLOOKUP($A25,int_ai_sample!$A$2:$N$101,6,FALSE),"")</f>
        <v>negative</v>
      </c>
      <c r="E25" s="7" t="str">
        <f>IFERROR(VLOOKUP($A25,人工標註!$A$2:$N$30,6,FALSE),"")</f>
        <v>negative</v>
      </c>
      <c r="F25" s="9" t="str">
        <f t="shared" si="0"/>
        <v>是</v>
      </c>
      <c r="G25" s="11">
        <f t="shared" si="1"/>
        <v>0.83</v>
      </c>
      <c r="H25" s="10" t="str">
        <f>IFERROR(IF(VLOOKUP($A25,int_ai_sample!$A$2:$N$101,7,FALSE)=VLOOKUP($A25,人工標註!$A$2:$N$30,7,FALSE),"是","否"),"")</f>
        <v>是</v>
      </c>
      <c r="I25" s="10" t="str">
        <f>IFERROR(IF(VLOOKUP($A25,int_ai_sample!$A$2:$N$101,8,FALSE)=VLOOKUP($A25,人工標註!$A$2:$N$30,8,FALSE),"是","否"),"")</f>
        <v>是</v>
      </c>
      <c r="J25" s="10" t="str">
        <f>IFERROR(IF(VLOOKUP($A25,int_ai_sample!$A$2:$N$101,9,FALSE)=VLOOKUP($A25,人工標註!$A$2:$N$30,9,FALSE),"是","否"),"")</f>
        <v>是</v>
      </c>
      <c r="K25" s="10" t="str">
        <f>IFERROR(IF(VLOOKUP($A25,int_ai_sample!$A$2:$N$101,10,FALSE)=VLOOKUP($A25,人工標註!$A$2:$N$30,10,FALSE),"是","否"),"")</f>
        <v>是</v>
      </c>
      <c r="L25" s="10" t="str">
        <f>IFERROR(IF(VLOOKUP($A25,int_ai_sample!$A$2:$N$101,11,FALSE)=VLOOKUP($A25,人工標註!$A$2:$N$30,11,FALSE),"是","否"),"")</f>
        <v>是</v>
      </c>
      <c r="M25" s="10" t="str">
        <f>IFERROR(IF(VLOOKUP($A25,int_ai_sample!$A$2:$N$101,12,FALSE)=VLOOKUP($A25,人工標註!$A$2:$N$30,12,FALSE),"是","否"),"")</f>
        <v>是</v>
      </c>
      <c r="N25" s="10" t="str">
        <f>IFERROR(IF(VLOOKUP($A25,int_ai_sample!$A$2:$N$101,13,FALSE)=VLOOKUP($A25,人工標註!$A$2:$N$30,13,FALSE),"是","否"),"")</f>
        <v>是</v>
      </c>
      <c r="O25" s="10" t="str">
        <f>IFERROR(IF(VLOOKUP($A25,int_ai_sample!$A$2:$N$101,14,FALSE)=VLOOKUP($A25,人工標註!$A$2:$N$30,14,FALSE),"是","否"),"")</f>
        <v>是</v>
      </c>
    </row>
    <row r="26" spans="1:15" ht="22" customHeight="1">
      <c r="A26" s="7" t="s">
        <v>98</v>
      </c>
      <c r="B26" s="7">
        <f>IFERROR(VLOOKUP($A26,int_ai_sample!$A$2:$N$101,3,FALSE),"")</f>
        <v>3</v>
      </c>
      <c r="C26" s="8" t="str">
        <f>IFERROR(VLOOKUP($A26,int_ai_sample!$A$2:$N$101,5,FALSE),"")</f>
        <v>我覺得交貨期不錯應該 15 天像其他店一樣，但跟你們買幾乎要一個月。</v>
      </c>
      <c r="D26" s="7" t="str">
        <f>IFERROR(VLOOKUP($A26,int_ai_sample!$A$2:$N$101,6,FALSE),"")</f>
        <v>negative</v>
      </c>
      <c r="E26" s="7" t="str">
        <f>IFERROR(VLOOKUP($A26,人工標註!$A$2:$N$30,6,FALSE),"")</f>
        <v>mixed</v>
      </c>
      <c r="F26" s="9" t="str">
        <f t="shared" si="0"/>
        <v>否</v>
      </c>
      <c r="G26" s="11">
        <f t="shared" si="1"/>
        <v>0.83</v>
      </c>
      <c r="H26" s="10" t="str">
        <f>IFERROR(IF(VLOOKUP($A26,int_ai_sample!$A$2:$N$101,7,FALSE)=VLOOKUP($A26,人工標註!$A$2:$N$30,7,FALSE),"是","否"),"")</f>
        <v>是</v>
      </c>
      <c r="I26" s="10" t="str">
        <f>IFERROR(IF(VLOOKUP($A26,int_ai_sample!$A$2:$N$101,8,FALSE)=VLOOKUP($A26,人工標註!$A$2:$N$30,8,FALSE),"是","否"),"")</f>
        <v>是</v>
      </c>
      <c r="J26" s="10" t="str">
        <f>IFERROR(IF(VLOOKUP($A26,int_ai_sample!$A$2:$N$101,9,FALSE)=VLOOKUP($A26,人工標註!$A$2:$N$30,9,FALSE),"是","否"),"")</f>
        <v>是</v>
      </c>
      <c r="K26" s="10" t="str">
        <f>IFERROR(IF(VLOOKUP($A26,int_ai_sample!$A$2:$N$101,10,FALSE)=VLOOKUP($A26,人工標註!$A$2:$N$30,10,FALSE),"是","否"),"")</f>
        <v>是</v>
      </c>
      <c r="L26" s="10" t="str">
        <f>IFERROR(IF(VLOOKUP($A26,int_ai_sample!$A$2:$N$101,11,FALSE)=VLOOKUP($A26,人工標註!$A$2:$N$30,11,FALSE),"是","否"),"")</f>
        <v>是</v>
      </c>
      <c r="M26" s="10" t="str">
        <f>IFERROR(IF(VLOOKUP($A26,int_ai_sample!$A$2:$N$101,12,FALSE)=VLOOKUP($A26,人工標註!$A$2:$N$30,12,FALSE),"是","否"),"")</f>
        <v>是</v>
      </c>
      <c r="N26" s="10" t="str">
        <f>IFERROR(IF(VLOOKUP($A26,int_ai_sample!$A$2:$N$101,13,FALSE)=VLOOKUP($A26,人工標註!$A$2:$N$30,13,FALSE),"是","否"),"")</f>
        <v>是</v>
      </c>
      <c r="O26" s="10" t="str">
        <f>IFERROR(IF(VLOOKUP($A26,int_ai_sample!$A$2:$N$101,14,FALSE)=VLOOKUP($A26,人工標註!$A$2:$N$30,14,FALSE),"是","否"),"")</f>
        <v>是</v>
      </c>
    </row>
    <row r="27" spans="1:15" ht="22" customHeight="1">
      <c r="A27" s="7" t="s">
        <v>102</v>
      </c>
      <c r="B27" s="7">
        <f>IFERROR(VLOOKUP($A27,int_ai_sample!$A$2:$N$101,3,FALSE),"")</f>
        <v>3</v>
      </c>
      <c r="C27" s="8" t="str">
        <f>IFERROR(VLOOKUP($A27,int_ai_sample!$A$2:$N$101,5,FALSE),"")</f>
        <v>符合期待，但還沒安裝。</v>
      </c>
      <c r="D27" s="7" t="str">
        <f>IFERROR(VLOOKUP($A27,int_ai_sample!$A$2:$N$101,6,FALSE),"")</f>
        <v>neutral</v>
      </c>
      <c r="E27" s="7" t="str">
        <f>IFERROR(VLOOKUP($A27,人工標註!$A$2:$N$30,6,FALSE),"")</f>
        <v>neutral</v>
      </c>
      <c r="F27" s="9" t="str">
        <f t="shared" si="0"/>
        <v>是</v>
      </c>
      <c r="G27" s="11">
        <f t="shared" si="1"/>
        <v>0.83</v>
      </c>
      <c r="H27" s="10" t="str">
        <f>IFERROR(IF(VLOOKUP($A27,int_ai_sample!$A$2:$N$101,7,FALSE)=VLOOKUP($A27,人工標註!$A$2:$N$30,7,FALSE),"是","否"),"")</f>
        <v>是</v>
      </c>
      <c r="I27" s="10" t="str">
        <f>IFERROR(IF(VLOOKUP($A27,int_ai_sample!$A$2:$N$101,8,FALSE)=VLOOKUP($A27,人工標註!$A$2:$N$30,8,FALSE),"是","否"),"")</f>
        <v>是</v>
      </c>
      <c r="J27" s="10" t="str">
        <f>IFERROR(IF(VLOOKUP($A27,int_ai_sample!$A$2:$N$101,9,FALSE)=VLOOKUP($A27,人工標註!$A$2:$N$30,9,FALSE),"是","否"),"")</f>
        <v>是</v>
      </c>
      <c r="K27" s="10" t="str">
        <f>IFERROR(IF(VLOOKUP($A27,int_ai_sample!$A$2:$N$101,10,FALSE)=VLOOKUP($A27,人工標註!$A$2:$N$30,10,FALSE),"是","否"),"")</f>
        <v>是</v>
      </c>
      <c r="L27" s="10" t="str">
        <f>IFERROR(IF(VLOOKUP($A27,int_ai_sample!$A$2:$N$101,11,FALSE)=VLOOKUP($A27,人工標註!$A$2:$N$30,11,FALSE),"是","否"),"")</f>
        <v>是</v>
      </c>
      <c r="M27" s="10" t="str">
        <f>IFERROR(IF(VLOOKUP($A27,int_ai_sample!$A$2:$N$101,12,FALSE)=VLOOKUP($A27,人工標註!$A$2:$N$30,12,FALSE),"是","否"),"")</f>
        <v>是</v>
      </c>
      <c r="N27" s="10" t="str">
        <f>IFERROR(IF(VLOOKUP($A27,int_ai_sample!$A$2:$N$101,13,FALSE)=VLOOKUP($A27,人工標註!$A$2:$N$30,13,FALSE),"是","否"),"")</f>
        <v>是</v>
      </c>
      <c r="O27" s="10" t="str">
        <f>IFERROR(IF(VLOOKUP($A27,int_ai_sample!$A$2:$N$101,14,FALSE)=VLOOKUP($A27,人工標註!$A$2:$N$30,14,FALSE),"是","否"),"")</f>
        <v>是</v>
      </c>
    </row>
    <row r="28" spans="1:15" ht="22" customHeight="1">
      <c r="A28" s="7" t="s">
        <v>107</v>
      </c>
      <c r="B28" s="7">
        <f>IFERROR(VLOOKUP($A28,int_ai_sample!$A$2:$N$101,3,FALSE),"")</f>
        <v>2</v>
      </c>
      <c r="C28" s="8" t="str">
        <f>IFERROR(VLOOKUP($A28,int_ai_sample!$A$2:$N$101,5,FALSE),"")</f>
        <v>商品預計在 11/11/2017 送達，但到現在都還沒有；訂單狀態是「配送有困難，商品尚未到達目的地」。如果週二14/11之前收不到，我就會採取行動。</v>
      </c>
      <c r="D28" s="7" t="str">
        <f>IFERROR(VLOOKUP($A28,int_ai_sample!$A$2:$N$101,6,FALSE),"")</f>
        <v>negative</v>
      </c>
      <c r="E28" s="7" t="str">
        <f>IFERROR(VLOOKUP($A28,人工標註!$A$2:$N$30,6,FALSE),"")</f>
        <v>neutral</v>
      </c>
      <c r="F28" s="9" t="str">
        <f t="shared" si="0"/>
        <v>否</v>
      </c>
      <c r="G28" s="11">
        <f t="shared" si="1"/>
        <v>0.83</v>
      </c>
      <c r="H28" s="10" t="str">
        <f>IFERROR(IF(VLOOKUP($A28,int_ai_sample!$A$2:$N$101,7,FALSE)=VLOOKUP($A28,人工標註!$A$2:$N$30,7,FALSE),"是","否"),"")</f>
        <v>是</v>
      </c>
      <c r="I28" s="10" t="str">
        <f>IFERROR(IF(VLOOKUP($A28,int_ai_sample!$A$2:$N$101,8,FALSE)=VLOOKUP($A28,人工標註!$A$2:$N$30,8,FALSE),"是","否"),"")</f>
        <v>是</v>
      </c>
      <c r="J28" s="10" t="str">
        <f>IFERROR(IF(VLOOKUP($A28,int_ai_sample!$A$2:$N$101,9,FALSE)=VLOOKUP($A28,人工標註!$A$2:$N$30,9,FALSE),"是","否"),"")</f>
        <v>是</v>
      </c>
      <c r="K28" s="10" t="str">
        <f>IFERROR(IF(VLOOKUP($A28,int_ai_sample!$A$2:$N$101,10,FALSE)=VLOOKUP($A28,人工標註!$A$2:$N$30,10,FALSE),"是","否"),"")</f>
        <v>是</v>
      </c>
      <c r="L28" s="10" t="str">
        <f>IFERROR(IF(VLOOKUP($A28,int_ai_sample!$A$2:$N$101,11,FALSE)=VLOOKUP($A28,人工標註!$A$2:$N$30,11,FALSE),"是","否"),"")</f>
        <v>是</v>
      </c>
      <c r="M28" s="10" t="str">
        <f>IFERROR(IF(VLOOKUP($A28,int_ai_sample!$A$2:$N$101,12,FALSE)=VLOOKUP($A28,人工標註!$A$2:$N$30,12,FALSE),"是","否"),"")</f>
        <v>是</v>
      </c>
      <c r="N28" s="10" t="str">
        <f>IFERROR(IF(VLOOKUP($A28,int_ai_sample!$A$2:$N$101,13,FALSE)=VLOOKUP($A28,人工標註!$A$2:$N$30,13,FALSE),"是","否"),"")</f>
        <v>是</v>
      </c>
      <c r="O28" s="10" t="str">
        <f>IFERROR(IF(VLOOKUP($A28,int_ai_sample!$A$2:$N$101,14,FALSE)=VLOOKUP($A28,人工標註!$A$2:$N$30,14,FALSE),"是","否"),"")</f>
        <v>是</v>
      </c>
    </row>
    <row r="29" spans="1:15" ht="22" customHeight="1">
      <c r="A29" s="7" t="s">
        <v>110</v>
      </c>
      <c r="B29" s="7">
        <f>IFERROR(VLOOKUP($A29,int_ai_sample!$A$2:$N$101,3,FALSE),"")</f>
        <v>1</v>
      </c>
      <c r="C29" s="8" t="str">
        <f>IFERROR(VLOOKUP($A29,int_ai_sample!$A$2:$N$101,5,FALSE),"")</f>
        <v>我收到商品了，但顏色是錯的。因此我不推薦這家店。</v>
      </c>
      <c r="D29" s="7" t="str">
        <f>IFERROR(VLOOKUP($A29,int_ai_sample!$A$2:$N$101,6,FALSE),"")</f>
        <v>negative</v>
      </c>
      <c r="E29" s="7" t="str">
        <f>IFERROR(VLOOKUP($A29,人工標註!$A$2:$N$30,6,FALSE),"")</f>
        <v>negative</v>
      </c>
      <c r="F29" s="9" t="str">
        <f t="shared" si="0"/>
        <v>是</v>
      </c>
      <c r="G29" s="11">
        <f t="shared" si="1"/>
        <v>0.83</v>
      </c>
      <c r="H29" s="10" t="str">
        <f>IFERROR(IF(VLOOKUP($A29,int_ai_sample!$A$2:$N$101,7,FALSE)=VLOOKUP($A29,人工標註!$A$2:$N$30,7,FALSE),"是","否"),"")</f>
        <v>是</v>
      </c>
      <c r="I29" s="10" t="str">
        <f>IFERROR(IF(VLOOKUP($A29,int_ai_sample!$A$2:$N$101,8,FALSE)=VLOOKUP($A29,人工標註!$A$2:$N$30,8,FALSE),"是","否"),"")</f>
        <v>否</v>
      </c>
      <c r="J29" s="10" t="str">
        <f>IFERROR(IF(VLOOKUP($A29,int_ai_sample!$A$2:$N$101,9,FALSE)=VLOOKUP($A29,人工標註!$A$2:$N$30,9,FALSE),"是","否"),"")</f>
        <v>是</v>
      </c>
      <c r="K29" s="10" t="str">
        <f>IFERROR(IF(VLOOKUP($A29,int_ai_sample!$A$2:$N$101,10,FALSE)=VLOOKUP($A29,人工標註!$A$2:$N$30,10,FALSE),"是","否"),"")</f>
        <v>否</v>
      </c>
      <c r="L29" s="10" t="str">
        <f>IFERROR(IF(VLOOKUP($A29,int_ai_sample!$A$2:$N$101,11,FALSE)=VLOOKUP($A29,人工標註!$A$2:$N$30,11,FALSE),"是","否"),"")</f>
        <v>是</v>
      </c>
      <c r="M29" s="10" t="str">
        <f>IFERROR(IF(VLOOKUP($A29,int_ai_sample!$A$2:$N$101,12,FALSE)=VLOOKUP($A29,人工標註!$A$2:$N$30,12,FALSE),"是","否"),"")</f>
        <v>是</v>
      </c>
      <c r="N29" s="10" t="str">
        <f>IFERROR(IF(VLOOKUP($A29,int_ai_sample!$A$2:$N$101,13,FALSE)=VLOOKUP($A29,人工標註!$A$2:$N$30,13,FALSE),"是","否"),"")</f>
        <v>是</v>
      </c>
      <c r="O29" s="10" t="str">
        <f>IFERROR(IF(VLOOKUP($A29,int_ai_sample!$A$2:$N$101,14,FALSE)=VLOOKUP($A29,人工標註!$A$2:$N$30,14,FALSE),"是","否"),"")</f>
        <v>是</v>
      </c>
    </row>
    <row r="30" spans="1:15" ht="22" customHeight="1">
      <c r="A30" s="7" t="s">
        <v>113</v>
      </c>
      <c r="B30" s="7">
        <f>IFERROR(VLOOKUP($A30,int_ai_sample!$A$2:$N$101,3,FALSE),"")</f>
        <v>4</v>
      </c>
      <c r="C30" s="8" t="str">
        <f>IFERROR(VLOOKUP($A30,int_ai_sample!$A$2:$N$101,5,FALSE),"")</f>
        <v>不錯的產品，我喜歡！也恭喜你們店家，提前交貨！我推薦。</v>
      </c>
      <c r="D30" s="7" t="str">
        <f>IFERROR(VLOOKUP($A30,int_ai_sample!$A$2:$N$101,6,FALSE),"")</f>
        <v>positive</v>
      </c>
      <c r="E30" s="7" t="str">
        <f>IFERROR(VLOOKUP($A30,人工標註!$A$2:$N$30,6,FALSE),"")</f>
        <v>positive</v>
      </c>
      <c r="F30" s="9" t="str">
        <f t="shared" si="0"/>
        <v>是</v>
      </c>
      <c r="G30" s="11">
        <f t="shared" si="1"/>
        <v>0.83</v>
      </c>
      <c r="H30" s="10" t="str">
        <f>IFERROR(IF(VLOOKUP($A30,int_ai_sample!$A$2:$N$101,7,FALSE)=VLOOKUP($A30,人工標註!$A$2:$N$30,7,FALSE),"是","否"),"")</f>
        <v>是</v>
      </c>
      <c r="I30" s="10" t="str">
        <f>IFERROR(IF(VLOOKUP($A30,int_ai_sample!$A$2:$N$101,8,FALSE)=VLOOKUP($A30,人工標註!$A$2:$N$30,8,FALSE),"是","否"),"")</f>
        <v>是</v>
      </c>
      <c r="J30" s="10" t="str">
        <f>IFERROR(IF(VLOOKUP($A30,int_ai_sample!$A$2:$N$101,9,FALSE)=VLOOKUP($A30,人工標註!$A$2:$N$30,9,FALSE),"是","否"),"")</f>
        <v>是</v>
      </c>
      <c r="K30" s="10" t="str">
        <f>IFERROR(IF(VLOOKUP($A30,int_ai_sample!$A$2:$N$101,10,FALSE)=VLOOKUP($A30,人工標註!$A$2:$N$30,10,FALSE),"是","否"),"")</f>
        <v>是</v>
      </c>
      <c r="L30" s="10" t="str">
        <f>IFERROR(IF(VLOOKUP($A30,int_ai_sample!$A$2:$N$101,11,FALSE)=VLOOKUP($A30,人工標註!$A$2:$N$30,11,FALSE),"是","否"),"")</f>
        <v>是</v>
      </c>
      <c r="M30" s="10" t="str">
        <f>IFERROR(IF(VLOOKUP($A30,int_ai_sample!$A$2:$N$101,12,FALSE)=VLOOKUP($A30,人工標註!$A$2:$N$30,12,FALSE),"是","否"),"")</f>
        <v>是</v>
      </c>
      <c r="N30" s="10" t="str">
        <f>IFERROR(IF(VLOOKUP($A30,int_ai_sample!$A$2:$N$101,13,FALSE)=VLOOKUP($A30,人工標註!$A$2:$N$30,13,FALSE),"是","否"),"")</f>
        <v>是</v>
      </c>
      <c r="O30" s="10" t="str">
        <f>IFERROR(IF(VLOOKUP($A30,int_ai_sample!$A$2:$N$101,14,FALSE)=VLOOKUP($A30,人工標註!$A$2:$N$30,14,FALSE),"是","否"),"")</f>
        <v>是</v>
      </c>
    </row>
  </sheetData>
  <mergeCells count="1">
    <mergeCell ref="Q1:Y1"/>
  </mergeCells>
  <phoneticPr fontId="14" type="noConversion"/>
  <conditionalFormatting sqref="F2:F30">
    <cfRule type="containsText" dxfId="2" priority="1" operator="containsText" text="否"/>
    <cfRule type="containsText" dxfId="1" priority="2" operator="containsText" text="是"/>
  </conditionalFormatting>
  <conditionalFormatting sqref="H2:O30">
    <cfRule type="containsText" dxfId="0" priority="3" operator="containsText" text="否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int_ai_sample</vt:lpstr>
      <vt:lpstr>人工標註</vt:lpstr>
      <vt:lpstr>人工標註正確率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張凱評</cp:lastModifiedBy>
  <dcterms:modified xsi:type="dcterms:W3CDTF">2026-07-30T20:41:51Z</dcterms:modified>
</cp:coreProperties>
</file>